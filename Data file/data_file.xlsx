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PyCharmMiscProject\HB_MPS\"/>
    </mc:Choice>
  </mc:AlternateContent>
  <xr:revisionPtr revIDLastSave="0" documentId="13_ncr:1_{C30027D8-646A-47A6-B5B7-201391EECBBF}" xr6:coauthVersionLast="47" xr6:coauthVersionMax="47" xr10:uidLastSave="{00000000-0000-0000-0000-000000000000}"/>
  <bookViews>
    <workbookView xWindow="11370" yWindow="1980" windowWidth="16170" windowHeight="13305" xr2:uid="{10C1C1A3-EC86-4BF4-A0F8-C382EFC533D7}"/>
  </bookViews>
  <sheets>
    <sheet name="Sheet1" sheetId="1" r:id="rId1"/>
  </sheets>
  <definedNames>
    <definedName name="_xlnm._FilterDatabase" localSheetId="0" hidden="1">Sheet1!$A$1:$H$169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" i="1" l="1"/>
  <c r="S3" i="1"/>
  <c r="S4" i="1"/>
  <c r="S5" i="1"/>
  <c r="S6" i="1"/>
  <c r="S7" i="1"/>
  <c r="S8" i="1"/>
  <c r="S170" i="1" s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2" i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U155" i="1" s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U2" i="1"/>
  <c r="U170" i="1" s="1"/>
  <c r="O96" i="1"/>
  <c r="H2" i="1"/>
  <c r="J2" i="1" s="1"/>
  <c r="H3" i="1"/>
  <c r="J3" i="1" s="1"/>
  <c r="M3" i="1" s="1"/>
  <c r="O3" i="1" s="1"/>
  <c r="H4" i="1"/>
  <c r="J4" i="1" s="1"/>
  <c r="H5" i="1"/>
  <c r="J5" i="1" s="1"/>
  <c r="H6" i="1"/>
  <c r="J6" i="1" s="1"/>
  <c r="H7" i="1"/>
  <c r="J7" i="1" s="1"/>
  <c r="H8" i="1"/>
  <c r="J8" i="1" s="1"/>
  <c r="H9" i="1"/>
  <c r="J9" i="1" s="1"/>
  <c r="M9" i="1" s="1"/>
  <c r="O9" i="1" s="1"/>
  <c r="H11" i="1"/>
  <c r="J11" i="1" s="1"/>
  <c r="H12" i="1"/>
  <c r="J12" i="1" s="1"/>
  <c r="H13" i="1"/>
  <c r="J13" i="1" s="1"/>
  <c r="H14" i="1"/>
  <c r="J14" i="1" s="1"/>
  <c r="H15" i="1"/>
  <c r="J15" i="1" s="1"/>
  <c r="H16" i="1"/>
  <c r="J16" i="1" s="1"/>
  <c r="H17" i="1"/>
  <c r="J17" i="1" s="1"/>
  <c r="H18" i="1"/>
  <c r="J18" i="1" s="1"/>
  <c r="M18" i="1" s="1"/>
  <c r="O18" i="1" s="1"/>
  <c r="H19" i="1"/>
  <c r="J19" i="1" s="1"/>
  <c r="H20" i="1"/>
  <c r="J20" i="1" s="1"/>
  <c r="H21" i="1"/>
  <c r="J21" i="1" s="1"/>
  <c r="H22" i="1"/>
  <c r="J22" i="1" s="1"/>
  <c r="H23" i="1"/>
  <c r="J23" i="1" s="1"/>
  <c r="H24" i="1"/>
  <c r="J24" i="1" s="1"/>
  <c r="M24" i="1" s="1"/>
  <c r="O24" i="1" s="1"/>
  <c r="H25" i="1"/>
  <c r="J25" i="1" s="1"/>
  <c r="H26" i="1"/>
  <c r="J26" i="1" s="1"/>
  <c r="M26" i="1" s="1"/>
  <c r="O26" i="1" s="1"/>
  <c r="H27" i="1"/>
  <c r="J27" i="1" s="1"/>
  <c r="H28" i="1"/>
  <c r="J28" i="1" s="1"/>
  <c r="H29" i="1"/>
  <c r="J29" i="1" s="1"/>
  <c r="H30" i="1"/>
  <c r="J30" i="1" s="1"/>
  <c r="M30" i="1" s="1"/>
  <c r="O30" i="1" s="1"/>
  <c r="H31" i="1"/>
  <c r="J31" i="1" s="1"/>
  <c r="H32" i="1"/>
  <c r="J32" i="1" s="1"/>
  <c r="H33" i="1"/>
  <c r="J33" i="1" s="1"/>
  <c r="H34" i="1"/>
  <c r="J34" i="1" s="1"/>
  <c r="H35" i="1"/>
  <c r="J35" i="1" s="1"/>
  <c r="H36" i="1"/>
  <c r="J36" i="1" s="1"/>
  <c r="M36" i="1" s="1"/>
  <c r="O36" i="1" s="1"/>
  <c r="H37" i="1"/>
  <c r="J37" i="1" s="1"/>
  <c r="H38" i="1"/>
  <c r="J38" i="1" s="1"/>
  <c r="H39" i="1"/>
  <c r="J39" i="1" s="1"/>
  <c r="H40" i="1"/>
  <c r="J40" i="1" s="1"/>
  <c r="H41" i="1"/>
  <c r="J41" i="1" s="1"/>
  <c r="H42" i="1"/>
  <c r="J42" i="1" s="1"/>
  <c r="H43" i="1"/>
  <c r="J43" i="1" s="1"/>
  <c r="H44" i="1"/>
  <c r="J44" i="1" s="1"/>
  <c r="H45" i="1"/>
  <c r="J45" i="1" s="1"/>
  <c r="H46" i="1"/>
  <c r="J46" i="1" s="1"/>
  <c r="H47" i="1"/>
  <c r="J47" i="1" s="1"/>
  <c r="H48" i="1"/>
  <c r="J48" i="1" s="1"/>
  <c r="M48" i="1" s="1"/>
  <c r="O48" i="1" s="1"/>
  <c r="H49" i="1"/>
  <c r="J49" i="1" s="1"/>
  <c r="H50" i="1"/>
  <c r="J50" i="1" s="1"/>
  <c r="H51" i="1"/>
  <c r="J51" i="1" s="1"/>
  <c r="H52" i="1"/>
  <c r="J52" i="1" s="1"/>
  <c r="H53" i="1"/>
  <c r="J53" i="1" s="1"/>
  <c r="H54" i="1"/>
  <c r="J54" i="1" s="1"/>
  <c r="M54" i="1" s="1"/>
  <c r="O54" i="1" s="1"/>
  <c r="H55" i="1"/>
  <c r="J55" i="1" s="1"/>
  <c r="H56" i="1"/>
  <c r="J56" i="1" s="1"/>
  <c r="H57" i="1"/>
  <c r="J57" i="1" s="1"/>
  <c r="H58" i="1"/>
  <c r="J58" i="1" s="1"/>
  <c r="H59" i="1"/>
  <c r="J59" i="1" s="1"/>
  <c r="H60" i="1"/>
  <c r="J60" i="1" s="1"/>
  <c r="H61" i="1"/>
  <c r="J61" i="1" s="1"/>
  <c r="H62" i="1"/>
  <c r="J62" i="1" s="1"/>
  <c r="H63" i="1"/>
  <c r="J63" i="1" s="1"/>
  <c r="H64" i="1"/>
  <c r="J64" i="1" s="1"/>
  <c r="H65" i="1"/>
  <c r="J65" i="1" s="1"/>
  <c r="H66" i="1"/>
  <c r="J66" i="1" s="1"/>
  <c r="M66" i="1" s="1"/>
  <c r="O66" i="1" s="1"/>
  <c r="H67" i="1"/>
  <c r="J67" i="1" s="1"/>
  <c r="H68" i="1"/>
  <c r="J68" i="1" s="1"/>
  <c r="H69" i="1"/>
  <c r="J69" i="1" s="1"/>
  <c r="H70" i="1"/>
  <c r="J70" i="1" s="1"/>
  <c r="H71" i="1"/>
  <c r="J71" i="1" s="1"/>
  <c r="H72" i="1"/>
  <c r="J72" i="1" s="1"/>
  <c r="H73" i="1"/>
  <c r="J73" i="1" s="1"/>
  <c r="H74" i="1"/>
  <c r="J74" i="1" s="1"/>
  <c r="H75" i="1"/>
  <c r="J75" i="1" s="1"/>
  <c r="H76" i="1"/>
  <c r="J76" i="1" s="1"/>
  <c r="H77" i="1"/>
  <c r="J77" i="1" s="1"/>
  <c r="H78" i="1"/>
  <c r="J78" i="1" s="1"/>
  <c r="H79" i="1"/>
  <c r="J79" i="1" s="1"/>
  <c r="H80" i="1"/>
  <c r="J80" i="1" s="1"/>
  <c r="H81" i="1"/>
  <c r="J81" i="1" s="1"/>
  <c r="H82" i="1"/>
  <c r="J82" i="1" s="1"/>
  <c r="H83" i="1"/>
  <c r="J83" i="1" s="1"/>
  <c r="H84" i="1"/>
  <c r="J84" i="1" s="1"/>
  <c r="M84" i="1" s="1"/>
  <c r="O84" i="1" s="1"/>
  <c r="H85" i="1"/>
  <c r="J85" i="1" s="1"/>
  <c r="H86" i="1"/>
  <c r="J86" i="1" s="1"/>
  <c r="H87" i="1"/>
  <c r="J87" i="1" s="1"/>
  <c r="H88" i="1"/>
  <c r="J88" i="1" s="1"/>
  <c r="H89" i="1"/>
  <c r="J89" i="1" s="1"/>
  <c r="H90" i="1"/>
  <c r="J90" i="1" s="1"/>
  <c r="M90" i="1" s="1"/>
  <c r="O90" i="1" s="1"/>
  <c r="H91" i="1"/>
  <c r="J91" i="1" s="1"/>
  <c r="H92" i="1"/>
  <c r="J92" i="1" s="1"/>
  <c r="H93" i="1"/>
  <c r="J93" i="1" s="1"/>
  <c r="H94" i="1"/>
  <c r="J94" i="1" s="1"/>
  <c r="H95" i="1"/>
  <c r="J95" i="1" s="1"/>
  <c r="H96" i="1"/>
  <c r="J96" i="1" s="1"/>
  <c r="M96" i="1" s="1"/>
  <c r="H97" i="1"/>
  <c r="J97" i="1" s="1"/>
  <c r="H98" i="1"/>
  <c r="J98" i="1" s="1"/>
  <c r="H99" i="1"/>
  <c r="J99" i="1" s="1"/>
  <c r="H100" i="1"/>
  <c r="J100" i="1" s="1"/>
  <c r="H101" i="1"/>
  <c r="J101" i="1" s="1"/>
  <c r="H102" i="1"/>
  <c r="J102" i="1" s="1"/>
  <c r="M102" i="1" s="1"/>
  <c r="O102" i="1" s="1"/>
  <c r="H103" i="1"/>
  <c r="J103" i="1" s="1"/>
  <c r="H104" i="1"/>
  <c r="J104" i="1" s="1"/>
  <c r="H105" i="1"/>
  <c r="J105" i="1" s="1"/>
  <c r="H106" i="1"/>
  <c r="J106" i="1" s="1"/>
  <c r="H107" i="1"/>
  <c r="J107" i="1" s="1"/>
  <c r="H108" i="1"/>
  <c r="J108" i="1" s="1"/>
  <c r="H109" i="1"/>
  <c r="J109" i="1" s="1"/>
  <c r="H110" i="1"/>
  <c r="J110" i="1" s="1"/>
  <c r="H111" i="1"/>
  <c r="J111" i="1" s="1"/>
  <c r="H112" i="1"/>
  <c r="J112" i="1" s="1"/>
  <c r="H113" i="1"/>
  <c r="J113" i="1" s="1"/>
  <c r="H114" i="1"/>
  <c r="J114" i="1" s="1"/>
  <c r="H115" i="1"/>
  <c r="J115" i="1" s="1"/>
  <c r="H116" i="1"/>
  <c r="J116" i="1" s="1"/>
  <c r="H117" i="1"/>
  <c r="J117" i="1" s="1"/>
  <c r="H118" i="1"/>
  <c r="J118" i="1" s="1"/>
  <c r="H119" i="1"/>
  <c r="J119" i="1" s="1"/>
  <c r="H120" i="1"/>
  <c r="J120" i="1" s="1"/>
  <c r="M120" i="1" s="1"/>
  <c r="O120" i="1" s="1"/>
  <c r="H121" i="1"/>
  <c r="J121" i="1" s="1"/>
  <c r="H122" i="1"/>
  <c r="J122" i="1" s="1"/>
  <c r="H123" i="1"/>
  <c r="J123" i="1" s="1"/>
  <c r="H124" i="1"/>
  <c r="J124" i="1" s="1"/>
  <c r="H125" i="1"/>
  <c r="J125" i="1" s="1"/>
  <c r="H126" i="1"/>
  <c r="J126" i="1" s="1"/>
  <c r="H127" i="1"/>
  <c r="J127" i="1" s="1"/>
  <c r="H128" i="1"/>
  <c r="J128" i="1" s="1"/>
  <c r="H129" i="1"/>
  <c r="J129" i="1" s="1"/>
  <c r="H130" i="1"/>
  <c r="J130" i="1" s="1"/>
  <c r="H131" i="1"/>
  <c r="J131" i="1" s="1"/>
  <c r="H132" i="1"/>
  <c r="J132" i="1" s="1"/>
  <c r="H133" i="1"/>
  <c r="J133" i="1" s="1"/>
  <c r="H134" i="1"/>
  <c r="J134" i="1" s="1"/>
  <c r="H135" i="1"/>
  <c r="J135" i="1" s="1"/>
  <c r="H136" i="1"/>
  <c r="J136" i="1" s="1"/>
  <c r="H137" i="1"/>
  <c r="J137" i="1" s="1"/>
  <c r="H138" i="1"/>
  <c r="J138" i="1" s="1"/>
  <c r="M138" i="1" s="1"/>
  <c r="O138" i="1" s="1"/>
  <c r="H139" i="1"/>
  <c r="J139" i="1" s="1"/>
  <c r="H140" i="1"/>
  <c r="J140" i="1" s="1"/>
  <c r="H141" i="1"/>
  <c r="J141" i="1" s="1"/>
  <c r="H142" i="1"/>
  <c r="J142" i="1" s="1"/>
  <c r="M142" i="1" s="1"/>
  <c r="O142" i="1" s="1"/>
  <c r="H143" i="1"/>
  <c r="J143" i="1" s="1"/>
  <c r="H144" i="1"/>
  <c r="J144" i="1" s="1"/>
  <c r="H145" i="1"/>
  <c r="J145" i="1" s="1"/>
  <c r="H146" i="1"/>
  <c r="J146" i="1" s="1"/>
  <c r="H147" i="1"/>
  <c r="J147" i="1" s="1"/>
  <c r="H148" i="1"/>
  <c r="J148" i="1" s="1"/>
  <c r="H149" i="1"/>
  <c r="J149" i="1" s="1"/>
  <c r="H150" i="1"/>
  <c r="J150" i="1" s="1"/>
  <c r="H151" i="1"/>
  <c r="J151" i="1" s="1"/>
  <c r="H152" i="1"/>
  <c r="J152" i="1" s="1"/>
  <c r="H153" i="1"/>
  <c r="J153" i="1" s="1"/>
  <c r="H154" i="1"/>
  <c r="J154" i="1" s="1"/>
  <c r="H155" i="1"/>
  <c r="J155" i="1" s="1"/>
  <c r="H156" i="1"/>
  <c r="J156" i="1" s="1"/>
  <c r="M156" i="1" s="1"/>
  <c r="O156" i="1" s="1"/>
  <c r="H157" i="1"/>
  <c r="J157" i="1" s="1"/>
  <c r="H158" i="1"/>
  <c r="J158" i="1" s="1"/>
  <c r="H159" i="1"/>
  <c r="J159" i="1" s="1"/>
  <c r="H160" i="1"/>
  <c r="J160" i="1" s="1"/>
  <c r="H161" i="1"/>
  <c r="J161" i="1" s="1"/>
  <c r="H162" i="1"/>
  <c r="J162" i="1" s="1"/>
  <c r="H163" i="1"/>
  <c r="J163" i="1" s="1"/>
  <c r="H164" i="1"/>
  <c r="J164" i="1" s="1"/>
  <c r="H165" i="1"/>
  <c r="J165" i="1" s="1"/>
  <c r="H166" i="1"/>
  <c r="J166" i="1" s="1"/>
  <c r="H167" i="1"/>
  <c r="J167" i="1" s="1"/>
  <c r="H168" i="1"/>
  <c r="J168" i="1" s="1"/>
  <c r="M168" i="1" s="1"/>
  <c r="O168" i="1" s="1"/>
  <c r="H169" i="1"/>
  <c r="J169" i="1" s="1"/>
  <c r="H10" i="1"/>
  <c r="J10" i="1" s="1"/>
  <c r="M10" i="1" s="1"/>
  <c r="O10" i="1" s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K165" i="1" l="1"/>
  <c r="K159" i="1"/>
  <c r="Q159" i="1" s="1"/>
  <c r="K153" i="1"/>
  <c r="K147" i="1"/>
  <c r="K141" i="1"/>
  <c r="K135" i="1"/>
  <c r="K129" i="1"/>
  <c r="Q129" i="1" s="1"/>
  <c r="K123" i="1"/>
  <c r="Q123" i="1" s="1"/>
  <c r="K117" i="1"/>
  <c r="K111" i="1"/>
  <c r="K166" i="1"/>
  <c r="K160" i="1"/>
  <c r="Q160" i="1" s="1"/>
  <c r="K154" i="1"/>
  <c r="K148" i="1"/>
  <c r="K136" i="1"/>
  <c r="K130" i="1"/>
  <c r="Q130" i="1" s="1"/>
  <c r="K124" i="1"/>
  <c r="Q124" i="1" s="1"/>
  <c r="K118" i="1"/>
  <c r="K112" i="1"/>
  <c r="K106" i="1"/>
  <c r="K100" i="1"/>
  <c r="Q100" i="1" s="1"/>
  <c r="K94" i="1"/>
  <c r="Q94" i="1" s="1"/>
  <c r="K82" i="1"/>
  <c r="K46" i="1"/>
  <c r="K105" i="1"/>
  <c r="K99" i="1"/>
  <c r="Q99" i="1" s="1"/>
  <c r="K93" i="1"/>
  <c r="Q93" i="1" s="1"/>
  <c r="K87" i="1"/>
  <c r="K81" i="1"/>
  <c r="K75" i="1"/>
  <c r="K69" i="1"/>
  <c r="K63" i="1"/>
  <c r="Q63" i="1" s="1"/>
  <c r="K57" i="1"/>
  <c r="K51" i="1"/>
  <c r="K45" i="1"/>
  <c r="K39" i="1"/>
  <c r="K33" i="1"/>
  <c r="Q33" i="1" s="1"/>
  <c r="K27" i="1"/>
  <c r="Q27" i="1" s="1"/>
  <c r="K2" i="1"/>
  <c r="K158" i="1"/>
  <c r="Q158" i="1" s="1"/>
  <c r="K152" i="1"/>
  <c r="K140" i="1"/>
  <c r="K128" i="1"/>
  <c r="Q128" i="1" s="1"/>
  <c r="K116" i="1"/>
  <c r="K20" i="1"/>
  <c r="K150" i="1"/>
  <c r="K132" i="1"/>
  <c r="Q132" i="1" s="1"/>
  <c r="K114" i="1"/>
  <c r="K78" i="1"/>
  <c r="K72" i="1"/>
  <c r="K60" i="1"/>
  <c r="Q60" i="1" s="1"/>
  <c r="K42" i="1"/>
  <c r="K164" i="1"/>
  <c r="Q164" i="1" s="1"/>
  <c r="K146" i="1"/>
  <c r="K134" i="1"/>
  <c r="K122" i="1"/>
  <c r="K110" i="1"/>
  <c r="K14" i="1"/>
  <c r="K7" i="1"/>
  <c r="K162" i="1"/>
  <c r="Q162" i="1" s="1"/>
  <c r="K144" i="1"/>
  <c r="K126" i="1"/>
  <c r="Q126" i="1" s="1"/>
  <c r="K108" i="1"/>
  <c r="K12" i="1"/>
  <c r="K17" i="1"/>
  <c r="K5" i="1"/>
  <c r="M12" i="1"/>
  <c r="O12" i="1" s="1"/>
  <c r="M20" i="1"/>
  <c r="O20" i="1" s="1"/>
  <c r="M134" i="1"/>
  <c r="O134" i="1" s="1"/>
  <c r="K120" i="1"/>
  <c r="M126" i="1"/>
  <c r="O126" i="1" s="1"/>
  <c r="K102" i="1"/>
  <c r="M78" i="1"/>
  <c r="O78" i="1" s="1"/>
  <c r="K54" i="1"/>
  <c r="M72" i="1"/>
  <c r="O72" i="1" s="1"/>
  <c r="K48" i="1"/>
  <c r="M60" i="1"/>
  <c r="O60" i="1" s="1"/>
  <c r="M5" i="1"/>
  <c r="O5" i="1" s="1"/>
  <c r="K96" i="1"/>
  <c r="Q96" i="1" s="1"/>
  <c r="K36" i="1"/>
  <c r="Q36" i="1" s="1"/>
  <c r="M162" i="1"/>
  <c r="O162" i="1" s="1"/>
  <c r="M108" i="1"/>
  <c r="O108" i="1" s="1"/>
  <c r="M46" i="1"/>
  <c r="O46" i="1" s="1"/>
  <c r="K156" i="1"/>
  <c r="Q156" i="1" s="1"/>
  <c r="K90" i="1"/>
  <c r="K24" i="1"/>
  <c r="M152" i="1"/>
  <c r="O152" i="1" s="1"/>
  <c r="M42" i="1"/>
  <c r="O42" i="1" s="1"/>
  <c r="K142" i="1"/>
  <c r="K18" i="1"/>
  <c r="M150" i="1"/>
  <c r="O150" i="1" s="1"/>
  <c r="M82" i="1"/>
  <c r="O82" i="1" s="1"/>
  <c r="K138" i="1"/>
  <c r="M132" i="1"/>
  <c r="O132" i="1" s="1"/>
  <c r="K66" i="1"/>
  <c r="Q66" i="1" s="1"/>
  <c r="K30" i="1"/>
  <c r="Q30" i="1" s="1"/>
  <c r="M144" i="1"/>
  <c r="O144" i="1" s="1"/>
  <c r="K168" i="1"/>
  <c r="K84" i="1"/>
  <c r="M17" i="1"/>
  <c r="O17" i="1" s="1"/>
  <c r="M14" i="1"/>
  <c r="O14" i="1" s="1"/>
  <c r="M116" i="1"/>
  <c r="O116" i="1" s="1"/>
  <c r="M160" i="1"/>
  <c r="O160" i="1" s="1"/>
  <c r="M114" i="1"/>
  <c r="O114" i="1" s="1"/>
  <c r="M7" i="1"/>
  <c r="O7" i="1" s="1"/>
  <c r="M106" i="1"/>
  <c r="O106" i="1" s="1"/>
  <c r="M124" i="1"/>
  <c r="O124" i="1" s="1"/>
  <c r="M94" i="1"/>
  <c r="O94" i="1" s="1"/>
  <c r="K10" i="1"/>
  <c r="M104" i="1"/>
  <c r="O104" i="1" s="1"/>
  <c r="K104" i="1"/>
  <c r="M92" i="1"/>
  <c r="O92" i="1" s="1"/>
  <c r="K92" i="1"/>
  <c r="Q92" i="1" s="1"/>
  <c r="M80" i="1"/>
  <c r="O80" i="1" s="1"/>
  <c r="K80" i="1"/>
  <c r="M68" i="1"/>
  <c r="O68" i="1" s="1"/>
  <c r="K68" i="1"/>
  <c r="Q68" i="1" s="1"/>
  <c r="M56" i="1"/>
  <c r="O56" i="1" s="1"/>
  <c r="K56" i="1"/>
  <c r="M44" i="1"/>
  <c r="O44" i="1" s="1"/>
  <c r="K44" i="1"/>
  <c r="M32" i="1"/>
  <c r="O32" i="1" s="1"/>
  <c r="K32" i="1"/>
  <c r="Q32" i="1" s="1"/>
  <c r="M123" i="1"/>
  <c r="O123" i="1" s="1"/>
  <c r="M105" i="1"/>
  <c r="O105" i="1" s="1"/>
  <c r="M45" i="1"/>
  <c r="O45" i="1" s="1"/>
  <c r="M165" i="1"/>
  <c r="O165" i="1" s="1"/>
  <c r="M147" i="1"/>
  <c r="O147" i="1" s="1"/>
  <c r="M129" i="1"/>
  <c r="O129" i="1" s="1"/>
  <c r="M111" i="1"/>
  <c r="O111" i="1" s="1"/>
  <c r="M100" i="1"/>
  <c r="O100" i="1" s="1"/>
  <c r="M87" i="1"/>
  <c r="O87" i="1" s="1"/>
  <c r="M39" i="1"/>
  <c r="O39" i="1" s="1"/>
  <c r="K167" i="1"/>
  <c r="M167" i="1"/>
  <c r="O167" i="1" s="1"/>
  <c r="K161" i="1"/>
  <c r="Q161" i="1" s="1"/>
  <c r="M161" i="1"/>
  <c r="O161" i="1" s="1"/>
  <c r="K155" i="1"/>
  <c r="Q155" i="1" s="1"/>
  <c r="M155" i="1"/>
  <c r="O155" i="1" s="1"/>
  <c r="K149" i="1"/>
  <c r="M149" i="1"/>
  <c r="O149" i="1" s="1"/>
  <c r="K143" i="1"/>
  <c r="M143" i="1"/>
  <c r="O143" i="1" s="1"/>
  <c r="K137" i="1"/>
  <c r="M137" i="1"/>
  <c r="O137" i="1" s="1"/>
  <c r="K131" i="1"/>
  <c r="Q131" i="1" s="1"/>
  <c r="M131" i="1"/>
  <c r="O131" i="1" s="1"/>
  <c r="K125" i="1"/>
  <c r="Q125" i="1" s="1"/>
  <c r="M125" i="1"/>
  <c r="O125" i="1" s="1"/>
  <c r="K119" i="1"/>
  <c r="M119" i="1"/>
  <c r="O119" i="1" s="1"/>
  <c r="K113" i="1"/>
  <c r="M113" i="1"/>
  <c r="O113" i="1" s="1"/>
  <c r="K107" i="1"/>
  <c r="M107" i="1"/>
  <c r="O107" i="1" s="1"/>
  <c r="K101" i="1"/>
  <c r="M101" i="1"/>
  <c r="O101" i="1" s="1"/>
  <c r="K95" i="1"/>
  <c r="Q95" i="1" s="1"/>
  <c r="M95" i="1"/>
  <c r="O95" i="1" s="1"/>
  <c r="K89" i="1"/>
  <c r="M89" i="1"/>
  <c r="O89" i="1" s="1"/>
  <c r="K83" i="1"/>
  <c r="M83" i="1"/>
  <c r="O83" i="1" s="1"/>
  <c r="K77" i="1"/>
  <c r="M77" i="1"/>
  <c r="O77" i="1" s="1"/>
  <c r="K71" i="1"/>
  <c r="M71" i="1"/>
  <c r="O71" i="1" s="1"/>
  <c r="K65" i="1"/>
  <c r="Q65" i="1" s="1"/>
  <c r="M65" i="1"/>
  <c r="O65" i="1" s="1"/>
  <c r="K59" i="1"/>
  <c r="Q59" i="1" s="1"/>
  <c r="M59" i="1"/>
  <c r="O59" i="1" s="1"/>
  <c r="K53" i="1"/>
  <c r="M53" i="1"/>
  <c r="O53" i="1" s="1"/>
  <c r="K47" i="1"/>
  <c r="M47" i="1"/>
  <c r="O47" i="1" s="1"/>
  <c r="K41" i="1"/>
  <c r="M41" i="1"/>
  <c r="O41" i="1" s="1"/>
  <c r="K35" i="1"/>
  <c r="Q35" i="1" s="1"/>
  <c r="M35" i="1"/>
  <c r="O35" i="1" s="1"/>
  <c r="K29" i="1"/>
  <c r="Q29" i="1" s="1"/>
  <c r="M29" i="1"/>
  <c r="O29" i="1" s="1"/>
  <c r="K23" i="1"/>
  <c r="M23" i="1"/>
  <c r="O23" i="1" s="1"/>
  <c r="K11" i="1"/>
  <c r="M11" i="1"/>
  <c r="O11" i="1" s="1"/>
  <c r="K34" i="1"/>
  <c r="Q34" i="1" s="1"/>
  <c r="M34" i="1"/>
  <c r="O34" i="1" s="1"/>
  <c r="M164" i="1"/>
  <c r="O164" i="1" s="1"/>
  <c r="M154" i="1"/>
  <c r="O154" i="1" s="1"/>
  <c r="M146" i="1"/>
  <c r="O146" i="1" s="1"/>
  <c r="M136" i="1"/>
  <c r="O136" i="1" s="1"/>
  <c r="M128" i="1"/>
  <c r="O128" i="1" s="1"/>
  <c r="M118" i="1"/>
  <c r="O118" i="1" s="1"/>
  <c r="M110" i="1"/>
  <c r="O110" i="1" s="1"/>
  <c r="M99" i="1"/>
  <c r="O99" i="1" s="1"/>
  <c r="M69" i="1"/>
  <c r="O69" i="1" s="1"/>
  <c r="M51" i="1"/>
  <c r="O51" i="1" s="1"/>
  <c r="K3" i="1"/>
  <c r="Q3" i="1" s="1"/>
  <c r="K76" i="1"/>
  <c r="M76" i="1"/>
  <c r="O76" i="1" s="1"/>
  <c r="K70" i="1"/>
  <c r="M70" i="1"/>
  <c r="O70" i="1" s="1"/>
  <c r="K64" i="1"/>
  <c r="Q64" i="1" s="1"/>
  <c r="M64" i="1"/>
  <c r="O64" i="1" s="1"/>
  <c r="K58" i="1"/>
  <c r="M58" i="1"/>
  <c r="O58" i="1" s="1"/>
  <c r="K40" i="1"/>
  <c r="M40" i="1"/>
  <c r="O40" i="1" s="1"/>
  <c r="M22" i="1"/>
  <c r="O22" i="1" s="1"/>
  <c r="K22" i="1"/>
  <c r="K16" i="1"/>
  <c r="M16" i="1"/>
  <c r="O16" i="1" s="1"/>
  <c r="K9" i="1"/>
  <c r="K28" i="1"/>
  <c r="Q28" i="1" s="1"/>
  <c r="M28" i="1"/>
  <c r="O28" i="1" s="1"/>
  <c r="M153" i="1"/>
  <c r="O153" i="1" s="1"/>
  <c r="M135" i="1"/>
  <c r="O135" i="1" s="1"/>
  <c r="M117" i="1"/>
  <c r="O117" i="1" s="1"/>
  <c r="M33" i="1"/>
  <c r="O33" i="1" s="1"/>
  <c r="M21" i="1"/>
  <c r="O21" i="1" s="1"/>
  <c r="K21" i="1"/>
  <c r="M15" i="1"/>
  <c r="O15" i="1" s="1"/>
  <c r="K15" i="1"/>
  <c r="M8" i="1"/>
  <c r="O8" i="1" s="1"/>
  <c r="K8" i="1"/>
  <c r="K88" i="1"/>
  <c r="M88" i="1"/>
  <c r="O88" i="1" s="1"/>
  <c r="K4" i="1"/>
  <c r="Q4" i="1" s="1"/>
  <c r="M4" i="1"/>
  <c r="O4" i="1" s="1"/>
  <c r="M81" i="1"/>
  <c r="O81" i="1" s="1"/>
  <c r="M63" i="1"/>
  <c r="O63" i="1" s="1"/>
  <c r="M98" i="1"/>
  <c r="O98" i="1" s="1"/>
  <c r="K98" i="1"/>
  <c r="Q98" i="1" s="1"/>
  <c r="M86" i="1"/>
  <c r="O86" i="1" s="1"/>
  <c r="K86" i="1"/>
  <c r="M74" i="1"/>
  <c r="O74" i="1" s="1"/>
  <c r="K74" i="1"/>
  <c r="M62" i="1"/>
  <c r="O62" i="1" s="1"/>
  <c r="K62" i="1"/>
  <c r="Q62" i="1" s="1"/>
  <c r="M50" i="1"/>
  <c r="O50" i="1" s="1"/>
  <c r="K50" i="1"/>
  <c r="M38" i="1"/>
  <c r="O38" i="1" s="1"/>
  <c r="K38" i="1"/>
  <c r="M159" i="1"/>
  <c r="O159" i="1" s="1"/>
  <c r="M141" i="1"/>
  <c r="O141" i="1" s="1"/>
  <c r="M93" i="1"/>
  <c r="O93" i="1" s="1"/>
  <c r="M27" i="1"/>
  <c r="O27" i="1" s="1"/>
  <c r="M169" i="1"/>
  <c r="O169" i="1" s="1"/>
  <c r="K169" i="1"/>
  <c r="M163" i="1"/>
  <c r="O163" i="1" s="1"/>
  <c r="K163" i="1"/>
  <c r="Q163" i="1" s="1"/>
  <c r="M157" i="1"/>
  <c r="O157" i="1" s="1"/>
  <c r="K157" i="1"/>
  <c r="Q157" i="1" s="1"/>
  <c r="M151" i="1"/>
  <c r="O151" i="1" s="1"/>
  <c r="K151" i="1"/>
  <c r="M145" i="1"/>
  <c r="O145" i="1" s="1"/>
  <c r="K145" i="1"/>
  <c r="M139" i="1"/>
  <c r="O139" i="1" s="1"/>
  <c r="K139" i="1"/>
  <c r="M133" i="1"/>
  <c r="O133" i="1" s="1"/>
  <c r="K133" i="1"/>
  <c r="M127" i="1"/>
  <c r="O127" i="1" s="1"/>
  <c r="K127" i="1"/>
  <c r="Q127" i="1" s="1"/>
  <c r="M121" i="1"/>
  <c r="O121" i="1" s="1"/>
  <c r="K121" i="1"/>
  <c r="M115" i="1"/>
  <c r="O115" i="1" s="1"/>
  <c r="K115" i="1"/>
  <c r="M109" i="1"/>
  <c r="O109" i="1" s="1"/>
  <c r="K109" i="1"/>
  <c r="M103" i="1"/>
  <c r="O103" i="1" s="1"/>
  <c r="K103" i="1"/>
  <c r="M97" i="1"/>
  <c r="O97" i="1" s="1"/>
  <c r="K97" i="1"/>
  <c r="Q97" i="1" s="1"/>
  <c r="M91" i="1"/>
  <c r="O91" i="1" s="1"/>
  <c r="K91" i="1"/>
  <c r="Q91" i="1" s="1"/>
  <c r="M85" i="1"/>
  <c r="O85" i="1" s="1"/>
  <c r="K85" i="1"/>
  <c r="M79" i="1"/>
  <c r="O79" i="1" s="1"/>
  <c r="K79" i="1"/>
  <c r="M73" i="1"/>
  <c r="O73" i="1" s="1"/>
  <c r="K73" i="1"/>
  <c r="M67" i="1"/>
  <c r="O67" i="1" s="1"/>
  <c r="K67" i="1"/>
  <c r="Q67" i="1" s="1"/>
  <c r="M61" i="1"/>
  <c r="O61" i="1" s="1"/>
  <c r="K61" i="1"/>
  <c r="Q61" i="1" s="1"/>
  <c r="M55" i="1"/>
  <c r="O55" i="1" s="1"/>
  <c r="K55" i="1"/>
  <c r="M49" i="1"/>
  <c r="O49" i="1" s="1"/>
  <c r="K49" i="1"/>
  <c r="M43" i="1"/>
  <c r="O43" i="1" s="1"/>
  <c r="K43" i="1"/>
  <c r="M37" i="1"/>
  <c r="O37" i="1" s="1"/>
  <c r="K37" i="1"/>
  <c r="M31" i="1"/>
  <c r="O31" i="1" s="1"/>
  <c r="K31" i="1"/>
  <c r="Q31" i="1" s="1"/>
  <c r="M25" i="1"/>
  <c r="O25" i="1" s="1"/>
  <c r="K25" i="1"/>
  <c r="M19" i="1"/>
  <c r="O19" i="1" s="1"/>
  <c r="K19" i="1"/>
  <c r="M13" i="1"/>
  <c r="O13" i="1" s="1"/>
  <c r="K13" i="1"/>
  <c r="K6" i="1"/>
  <c r="M6" i="1"/>
  <c r="O6" i="1" s="1"/>
  <c r="K52" i="1"/>
  <c r="M52" i="1"/>
  <c r="O52" i="1" s="1"/>
  <c r="M166" i="1"/>
  <c r="O166" i="1" s="1"/>
  <c r="M158" i="1"/>
  <c r="O158" i="1" s="1"/>
  <c r="M148" i="1"/>
  <c r="O148" i="1" s="1"/>
  <c r="M140" i="1"/>
  <c r="O140" i="1" s="1"/>
  <c r="M130" i="1"/>
  <c r="O130" i="1" s="1"/>
  <c r="M122" i="1"/>
  <c r="O122" i="1" s="1"/>
  <c r="M112" i="1"/>
  <c r="O112" i="1" s="1"/>
  <c r="M75" i="1"/>
  <c r="O75" i="1" s="1"/>
  <c r="M57" i="1"/>
  <c r="O57" i="1" s="1"/>
  <c r="K26" i="1"/>
  <c r="M2" i="1"/>
  <c r="O2" i="1" s="1"/>
  <c r="P91" i="1" l="1"/>
  <c r="P62" i="1"/>
  <c r="P96" i="1"/>
  <c r="P97" i="1"/>
  <c r="P131" i="1"/>
  <c r="R131" i="1" s="1"/>
  <c r="P100" i="1"/>
  <c r="R100" i="1" s="1"/>
  <c r="P29" i="1"/>
  <c r="P125" i="1"/>
  <c r="P93" i="1"/>
  <c r="P157" i="1"/>
  <c r="P30" i="1"/>
  <c r="P126" i="1"/>
  <c r="P61" i="1"/>
  <c r="P160" i="1"/>
  <c r="P130" i="1"/>
  <c r="R130" i="1" s="1"/>
  <c r="P95" i="1"/>
  <c r="P36" i="1"/>
  <c r="R36" i="1" s="1"/>
  <c r="Q133" i="1"/>
  <c r="P133" i="1"/>
  <c r="R133" i="1" s="1"/>
  <c r="Q25" i="1"/>
  <c r="P25" i="1"/>
  <c r="Q102" i="1"/>
  <c r="P102" i="1"/>
  <c r="R102" i="1" s="1"/>
  <c r="Q39" i="1"/>
  <c r="P39" i="1"/>
  <c r="Q5" i="1"/>
  <c r="P5" i="1"/>
  <c r="R5" i="1" s="1"/>
  <c r="Q89" i="1"/>
  <c r="P89" i="1"/>
  <c r="P111" i="1"/>
  <c r="Q111" i="1"/>
  <c r="Q71" i="1"/>
  <c r="P71" i="1"/>
  <c r="P147" i="1"/>
  <c r="Q147" i="1"/>
  <c r="Q69" i="1"/>
  <c r="P69" i="1"/>
  <c r="R69" i="1" s="1"/>
  <c r="Q51" i="1"/>
  <c r="P51" i="1"/>
  <c r="P15" i="1"/>
  <c r="Q15" i="1"/>
  <c r="Q86" i="1"/>
  <c r="P86" i="1"/>
  <c r="Q70" i="1"/>
  <c r="P70" i="1"/>
  <c r="R70" i="1" s="1"/>
  <c r="Q135" i="1"/>
  <c r="P135" i="1"/>
  <c r="R135" i="1" s="1"/>
  <c r="Q139" i="1"/>
  <c r="P139" i="1"/>
  <c r="R139" i="1" s="1"/>
  <c r="P49" i="1"/>
  <c r="Q49" i="1"/>
  <c r="Q12" i="1"/>
  <c r="P12" i="1"/>
  <c r="P151" i="1"/>
  <c r="Q151" i="1"/>
  <c r="P144" i="1"/>
  <c r="Q144" i="1"/>
  <c r="Q14" i="1"/>
  <c r="P14" i="1"/>
  <c r="P33" i="1"/>
  <c r="P19" i="1"/>
  <c r="Q19" i="1"/>
  <c r="P121" i="1"/>
  <c r="Q121" i="1"/>
  <c r="Q75" i="1"/>
  <c r="P75" i="1"/>
  <c r="R75" i="1" s="1"/>
  <c r="P129" i="1"/>
  <c r="Q167" i="1"/>
  <c r="P167" i="1"/>
  <c r="Q81" i="1"/>
  <c r="P81" i="1"/>
  <c r="P113" i="1"/>
  <c r="Q113" i="1"/>
  <c r="Q43" i="1"/>
  <c r="P43" i="1"/>
  <c r="R43" i="1" s="1"/>
  <c r="Q168" i="1"/>
  <c r="P168" i="1"/>
  <c r="R168" i="1" s="1"/>
  <c r="Q55" i="1"/>
  <c r="P55" i="1"/>
  <c r="Q138" i="1"/>
  <c r="P138" i="1"/>
  <c r="R138" i="1" s="1"/>
  <c r="Q2" i="1"/>
  <c r="P2" i="1"/>
  <c r="R2" i="1" s="1"/>
  <c r="Q165" i="1"/>
  <c r="P165" i="1"/>
  <c r="R165" i="1" s="1"/>
  <c r="Q26" i="1"/>
  <c r="P26" i="1"/>
  <c r="P24" i="1"/>
  <c r="Q24" i="1"/>
  <c r="P66" i="1"/>
  <c r="P67" i="1"/>
  <c r="R67" i="1" s="1"/>
  <c r="P98" i="1"/>
  <c r="R98" i="1" s="1"/>
  <c r="P83" i="1"/>
  <c r="Q83" i="1"/>
  <c r="P27" i="1"/>
  <c r="Q44" i="1"/>
  <c r="P44" i="1"/>
  <c r="P162" i="1"/>
  <c r="R162" i="1" s="1"/>
  <c r="Q166" i="1"/>
  <c r="P166" i="1"/>
  <c r="R166" i="1" s="1"/>
  <c r="Q141" i="1"/>
  <c r="P141" i="1"/>
  <c r="P88" i="1"/>
  <c r="Q88" i="1"/>
  <c r="P145" i="1"/>
  <c r="Q145" i="1"/>
  <c r="P21" i="1"/>
  <c r="Q21" i="1"/>
  <c r="P101" i="1"/>
  <c r="Q101" i="1"/>
  <c r="Q42" i="1"/>
  <c r="P42" i="1"/>
  <c r="R42" i="1" s="1"/>
  <c r="P164" i="1"/>
  <c r="R164" i="1" s="1"/>
  <c r="Q108" i="1"/>
  <c r="P108" i="1"/>
  <c r="P127" i="1"/>
  <c r="P31" i="1"/>
  <c r="P112" i="1"/>
  <c r="Q112" i="1"/>
  <c r="P163" i="1"/>
  <c r="R163" i="1" s="1"/>
  <c r="P34" i="1"/>
  <c r="Q140" i="1"/>
  <c r="P140" i="1"/>
  <c r="Q76" i="1"/>
  <c r="P76" i="1"/>
  <c r="Q8" i="1"/>
  <c r="P8" i="1"/>
  <c r="R8" i="1" s="1"/>
  <c r="P123" i="1"/>
  <c r="P22" i="1"/>
  <c r="Q22" i="1"/>
  <c r="Q118" i="1"/>
  <c r="P118" i="1"/>
  <c r="P28" i="1"/>
  <c r="P4" i="1"/>
  <c r="Q54" i="1"/>
  <c r="P54" i="1"/>
  <c r="P17" i="1"/>
  <c r="Q17" i="1"/>
  <c r="P64" i="1"/>
  <c r="P18" i="1"/>
  <c r="Q18" i="1"/>
  <c r="P60" i="1"/>
  <c r="P32" i="1"/>
  <c r="P92" i="1"/>
  <c r="P35" i="1"/>
  <c r="R35" i="1" s="1"/>
  <c r="P117" i="1"/>
  <c r="Q117" i="1"/>
  <c r="Q105" i="1"/>
  <c r="P105" i="1"/>
  <c r="R105" i="1" s="1"/>
  <c r="P161" i="1"/>
  <c r="R161" i="1" s="1"/>
  <c r="P85" i="1"/>
  <c r="Q85" i="1"/>
  <c r="Q40" i="1"/>
  <c r="P40" i="1"/>
  <c r="R40" i="1" s="1"/>
  <c r="Q136" i="1"/>
  <c r="P136" i="1"/>
  <c r="R136" i="1" s="1"/>
  <c r="P124" i="1"/>
  <c r="P132" i="1"/>
  <c r="R132" i="1" s="1"/>
  <c r="Q120" i="1"/>
  <c r="P120" i="1"/>
  <c r="Q45" i="1"/>
  <c r="P45" i="1"/>
  <c r="P59" i="1"/>
  <c r="P155" i="1"/>
  <c r="Q169" i="1"/>
  <c r="P169" i="1"/>
  <c r="Q110" i="1"/>
  <c r="P110" i="1"/>
  <c r="Q11" i="1"/>
  <c r="P11" i="1"/>
  <c r="R11" i="1" s="1"/>
  <c r="P128" i="1"/>
  <c r="Q56" i="1"/>
  <c r="P56" i="1"/>
  <c r="Q134" i="1"/>
  <c r="P134" i="1"/>
  <c r="Q146" i="1"/>
  <c r="P146" i="1"/>
  <c r="Q80" i="1"/>
  <c r="P80" i="1"/>
  <c r="R80" i="1" s="1"/>
  <c r="Q103" i="1"/>
  <c r="P103" i="1"/>
  <c r="R103" i="1" s="1"/>
  <c r="Q6" i="1"/>
  <c r="P6" i="1"/>
  <c r="R6" i="1" s="1"/>
  <c r="Q47" i="1"/>
  <c r="P47" i="1"/>
  <c r="P143" i="1"/>
  <c r="Q143" i="1"/>
  <c r="Q150" i="1"/>
  <c r="P150" i="1"/>
  <c r="P148" i="1"/>
  <c r="Q148" i="1"/>
  <c r="P156" i="1"/>
  <c r="P68" i="1"/>
  <c r="R68" i="1" s="1"/>
  <c r="P152" i="1"/>
  <c r="Q152" i="1"/>
  <c r="Q37" i="1"/>
  <c r="P37" i="1"/>
  <c r="R37" i="1" s="1"/>
  <c r="Q77" i="1"/>
  <c r="P77" i="1"/>
  <c r="P84" i="1"/>
  <c r="Q84" i="1"/>
  <c r="Q107" i="1"/>
  <c r="P107" i="1"/>
  <c r="R107" i="1" s="1"/>
  <c r="Q73" i="1"/>
  <c r="P73" i="1"/>
  <c r="R73" i="1" s="1"/>
  <c r="Q142" i="1"/>
  <c r="P142" i="1"/>
  <c r="Q46" i="1"/>
  <c r="P46" i="1"/>
  <c r="P82" i="1"/>
  <c r="Q82" i="1"/>
  <c r="P23" i="1"/>
  <c r="Q23" i="1"/>
  <c r="Q9" i="1"/>
  <c r="P9" i="1"/>
  <c r="R9" i="1" s="1"/>
  <c r="Q106" i="1"/>
  <c r="P106" i="1"/>
  <c r="R106" i="1" s="1"/>
  <c r="P16" i="1"/>
  <c r="Q16" i="1"/>
  <c r="Q72" i="1"/>
  <c r="P72" i="1"/>
  <c r="R72" i="1" s="1"/>
  <c r="Q78" i="1"/>
  <c r="P78" i="1"/>
  <c r="P52" i="1"/>
  <c r="Q52" i="1"/>
  <c r="Q137" i="1"/>
  <c r="P137" i="1"/>
  <c r="R137" i="1" s="1"/>
  <c r="Q13" i="1"/>
  <c r="P13" i="1"/>
  <c r="Q109" i="1"/>
  <c r="P109" i="1"/>
  <c r="Q74" i="1"/>
  <c r="P74" i="1"/>
  <c r="Q58" i="1"/>
  <c r="P58" i="1"/>
  <c r="Q10" i="1"/>
  <c r="P10" i="1"/>
  <c r="R10" i="1" s="1"/>
  <c r="P20" i="1"/>
  <c r="Q20" i="1"/>
  <c r="P154" i="1"/>
  <c r="Q154" i="1"/>
  <c r="P94" i="1"/>
  <c r="P3" i="1"/>
  <c r="R3" i="1" s="1"/>
  <c r="Q115" i="1"/>
  <c r="P115" i="1"/>
  <c r="P153" i="1"/>
  <c r="Q153" i="1"/>
  <c r="P57" i="1"/>
  <c r="Q57" i="1"/>
  <c r="P63" i="1"/>
  <c r="R63" i="1" s="1"/>
  <c r="Q87" i="1"/>
  <c r="P87" i="1"/>
  <c r="Q7" i="1"/>
  <c r="P7" i="1"/>
  <c r="R7" i="1" s="1"/>
  <c r="P159" i="1"/>
  <c r="Q122" i="1"/>
  <c r="P122" i="1"/>
  <c r="P79" i="1"/>
  <c r="Q79" i="1"/>
  <c r="P65" i="1"/>
  <c r="P119" i="1"/>
  <c r="Q119" i="1"/>
  <c r="Q90" i="1"/>
  <c r="P90" i="1"/>
  <c r="P99" i="1"/>
  <c r="R99" i="1" s="1"/>
  <c r="Q38" i="1"/>
  <c r="P38" i="1"/>
  <c r="R38" i="1" s="1"/>
  <c r="Q50" i="1"/>
  <c r="P50" i="1"/>
  <c r="Q41" i="1"/>
  <c r="P41" i="1"/>
  <c r="R41" i="1" s="1"/>
  <c r="P114" i="1"/>
  <c r="Q114" i="1"/>
  <c r="Q104" i="1"/>
  <c r="P104" i="1"/>
  <c r="R104" i="1" s="1"/>
  <c r="P53" i="1"/>
  <c r="Q53" i="1"/>
  <c r="P149" i="1"/>
  <c r="Q149" i="1"/>
  <c r="Q48" i="1"/>
  <c r="P48" i="1"/>
  <c r="Q116" i="1"/>
  <c r="P116" i="1"/>
  <c r="P158" i="1"/>
  <c r="R39" i="1"/>
  <c r="R66" i="1"/>
  <c r="R34" i="1"/>
  <c r="K170" i="1"/>
  <c r="R134" i="1" l="1"/>
  <c r="R167" i="1"/>
  <c r="R169" i="1"/>
  <c r="R71" i="1"/>
  <c r="Q170" i="1"/>
  <c r="R24" i="1"/>
  <c r="P171" i="1"/>
  <c r="R101" i="1"/>
  <c r="R74" i="1"/>
  <c r="P170" i="1"/>
  <c r="R4" i="1"/>
  <c r="R170" i="1"/>
  <c r="R15" i="1"/>
  <c r="R155" i="1"/>
  <c r="R16" i="1"/>
  <c r="R59" i="1"/>
  <c r="R129" i="1"/>
  <c r="R91" i="1"/>
  <c r="R52" i="1"/>
  <c r="R141" i="1"/>
  <c r="R84" i="1"/>
  <c r="R28" i="1"/>
  <c r="R44" i="1"/>
  <c r="R153" i="1"/>
  <c r="R81" i="1"/>
  <c r="R152" i="1"/>
  <c r="R93" i="1"/>
  <c r="R117" i="1"/>
  <c r="R96" i="1"/>
  <c r="R57" i="1"/>
  <c r="R22" i="1"/>
  <c r="R97" i="1"/>
  <c r="R156" i="1"/>
  <c r="R144" i="1"/>
  <c r="R62" i="1"/>
  <c r="R157" i="1"/>
  <c r="R95" i="1"/>
  <c r="R82" i="1"/>
  <c r="R56" i="1"/>
  <c r="R85" i="1"/>
  <c r="R128" i="1"/>
  <c r="R151" i="1"/>
  <c r="R89" i="1"/>
  <c r="R51" i="1"/>
  <c r="R64" i="1"/>
  <c r="R126" i="1"/>
  <c r="R125" i="1"/>
  <c r="R150" i="1"/>
  <c r="R20" i="1"/>
  <c r="R58" i="1"/>
  <c r="R113" i="1"/>
  <c r="R122" i="1"/>
  <c r="R26" i="1"/>
  <c r="R17" i="1"/>
  <c r="R30" i="1"/>
  <c r="R55" i="1"/>
  <c r="R124" i="1"/>
  <c r="R29" i="1"/>
  <c r="R92" i="1"/>
  <c r="R147" i="1"/>
  <c r="R48" i="1"/>
  <c r="R148" i="1"/>
  <c r="R83" i="1"/>
  <c r="R123" i="1"/>
  <c r="R61" i="1"/>
  <c r="R27" i="1"/>
  <c r="R50" i="1"/>
  <c r="R120" i="1"/>
  <c r="R146" i="1"/>
  <c r="R18" i="1"/>
  <c r="R111" i="1"/>
  <c r="R14" i="1"/>
  <c r="R140" i="1"/>
  <c r="R159" i="1"/>
  <c r="R90" i="1"/>
  <c r="R119" i="1"/>
  <c r="R23" i="1"/>
  <c r="R31" i="1"/>
  <c r="R32" i="1"/>
  <c r="R19" i="1"/>
  <c r="R77" i="1"/>
  <c r="R116" i="1"/>
  <c r="R145" i="1"/>
  <c r="R149" i="1"/>
  <c r="R108" i="1"/>
  <c r="R158" i="1"/>
  <c r="R78" i="1"/>
  <c r="R94" i="1"/>
  <c r="R65" i="1"/>
  <c r="R46" i="1"/>
  <c r="R47" i="1"/>
  <c r="R60" i="1"/>
  <c r="R142" i="1"/>
  <c r="R87" i="1"/>
  <c r="R33" i="1"/>
  <c r="R53" i="1"/>
  <c r="R109" i="1"/>
  <c r="R86" i="1"/>
  <c r="R76" i="1"/>
  <c r="R154" i="1"/>
  <c r="R127" i="1"/>
  <c r="R121" i="1"/>
  <c r="R110" i="1"/>
  <c r="R21" i="1"/>
  <c r="R25" i="1"/>
  <c r="R49" i="1"/>
  <c r="R45" i="1"/>
  <c r="R118" i="1"/>
  <c r="R160" i="1"/>
  <c r="R112" i="1"/>
  <c r="R143" i="1"/>
  <c r="R12" i="1"/>
  <c r="R88" i="1"/>
  <c r="R79" i="1"/>
  <c r="R13" i="1"/>
  <c r="R115" i="1"/>
  <c r="R54" i="1"/>
  <c r="R114" i="1"/>
</calcChain>
</file>

<file path=xl/sharedStrings.xml><?xml version="1.0" encoding="utf-8"?>
<sst xmlns="http://schemas.openxmlformats.org/spreadsheetml/2006/main" count="22" uniqueCount="22">
  <si>
    <t>날짜</t>
    <phoneticPr fontId="2" type="noConversion"/>
  </si>
  <si>
    <t>시간</t>
    <phoneticPr fontId="2" type="noConversion"/>
  </si>
  <si>
    <t>합계(kWh)</t>
    <phoneticPr fontId="2" type="noConversion"/>
  </si>
  <si>
    <t>잉여전력(kWh)</t>
    <phoneticPr fontId="2" type="noConversion"/>
  </si>
  <si>
    <t>비교</t>
    <phoneticPr fontId="2" type="noConversion"/>
  </si>
  <si>
    <t>(SMP+REC)*잉여전력: 전력거래 편익(원/kWh)</t>
    <phoneticPr fontId="2" type="noConversion"/>
  </si>
  <si>
    <t>SMP*잉여전력</t>
    <phoneticPr fontId="2" type="noConversion"/>
  </si>
  <si>
    <t>SMP(원/kWh)</t>
    <phoneticPr fontId="2" type="noConversion"/>
  </si>
  <si>
    <t>LCOE=SMP+REC(원/kWh)</t>
    <phoneticPr fontId="2" type="noConversion"/>
  </si>
  <si>
    <t>N_REC: REC 발행개수(REC)(1MWh=1REC)</t>
    <phoneticPr fontId="2" type="noConversion"/>
  </si>
  <si>
    <t>A: 패널설치면적(m²)</t>
    <phoneticPr fontId="2" type="noConversion"/>
  </si>
  <si>
    <t>Q: 시간당 일사량(kWh/m²)</t>
    <phoneticPr fontId="2" type="noConversion"/>
  </si>
  <si>
    <t>Q: 시간당 일사량(MJ/m²)</t>
    <phoneticPr fontId="2" type="noConversion"/>
  </si>
  <si>
    <r>
      <rPr>
        <sz val="10"/>
        <rFont val="Calibri"/>
        <family val="3"/>
        <charset val="161"/>
      </rPr>
      <t>η</t>
    </r>
    <r>
      <rPr>
        <sz val="10"/>
        <rFont val="맑은 고딕"/>
        <family val="3"/>
        <charset val="129"/>
      </rPr>
      <t>:</t>
    </r>
    <r>
      <rPr>
        <sz val="10"/>
        <rFont val="맑은 고딕"/>
        <family val="3"/>
        <charset val="129"/>
        <scheme val="minor"/>
      </rPr>
      <t xml:space="preserve"> 태양광 발전 효율</t>
    </r>
    <phoneticPr fontId="2" type="noConversion"/>
  </si>
  <si>
    <t>E: 태양광 발전량(kWh)</t>
    <phoneticPr fontId="2" type="noConversion"/>
  </si>
  <si>
    <t>R_REC: REC 수익 (원)</t>
    <phoneticPr fontId="2" type="noConversion"/>
  </si>
  <si>
    <t>p_REC: REC 단가(원/REC=원/MWh)</t>
    <phoneticPr fontId="2" type="noConversion"/>
  </si>
  <si>
    <t>p_REC,kWh: REC(원/kWh)</t>
    <phoneticPr fontId="2" type="noConversion"/>
  </si>
  <si>
    <t>수소 외부계통 충전 비용(원/kg)</t>
    <phoneticPr fontId="2" type="noConversion"/>
  </si>
  <si>
    <t>주택용 전력사용량(kWh)</t>
    <phoneticPr fontId="2" type="noConversion"/>
  </si>
  <si>
    <t>산업용 전력사용량(kWh)</t>
    <phoneticPr fontId="2" type="noConversion"/>
  </si>
  <si>
    <t>총 REC  계산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</si>
</sst>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000000_ "/>
  </numFmts>
  <fonts count="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2"/>
      <charset val="129"/>
      <scheme val="minor"/>
    </font>
    <font>
      <sz val="10"/>
      <name val="Calibri"/>
      <family val="3"/>
      <charset val="161"/>
    </font>
    <font>
      <sz val="10"/>
      <name val="맑은 고딕"/>
      <family val="3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>
      <alignment vertical="center"/>
    </xf>
    <xf numFmtId="0" fontId="3" fillId="0" borderId="1" xfId="0" applyFont="1" applyBorder="1" applyAlignment="1"/>
    <xf numFmtId="0" fontId="1" fillId="0" borderId="1" xfId="0" applyFont="1" applyBorder="1">
      <alignment vertical="center"/>
    </xf>
    <xf numFmtId="4" fontId="4" fillId="0" borderId="1" xfId="0" applyNumberFormat="1" applyFont="1" applyBorder="1" applyAlignment="1">
      <alignment horizontal="right" vertical="top"/>
    </xf>
    <xf numFmtId="0" fontId="5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5" fillId="0" borderId="3" xfId="0" applyFont="1" applyBorder="1">
      <alignment vertical="center"/>
    </xf>
    <xf numFmtId="0" fontId="7" fillId="2" borderId="1" xfId="0" applyFont="1" applyFill="1" applyBorder="1">
      <alignment vertical="center"/>
    </xf>
    <xf numFmtId="0" fontId="3" fillId="2" borderId="3" xfId="0" applyFont="1" applyFill="1" applyBorder="1">
      <alignment vertical="center"/>
    </xf>
    <xf numFmtId="176" fontId="5" fillId="0" borderId="3" xfId="0" applyNumberFormat="1" applyFont="1" applyBorder="1">
      <alignment vertical="center"/>
    </xf>
    <xf numFmtId="0" fontId="3" fillId="2" borderId="4" xfId="0" applyFont="1" applyFill="1" applyBorder="1">
      <alignment vertical="center"/>
    </xf>
    <xf numFmtId="0" fontId="5" fillId="0" borderId="4" xfId="0" applyFont="1" applyBorder="1">
      <alignment vertical="center"/>
    </xf>
    <xf numFmtId="176" fontId="0" fillId="0" borderId="0" xfId="0" applyNumberFormat="1">
      <alignment vertical="center"/>
    </xf>
    <xf numFmtId="0" fontId="3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AFAE-9FF9-400D-BE1F-AF9BE9682C60}">
  <dimension ref="A1:V171"/>
  <sheetViews>
    <sheetView tabSelected="1" topLeftCell="M22" workbookViewId="0">
      <selection activeCell="S33" sqref="S33"/>
    </sheetView>
  </sheetViews>
  <sheetFormatPr defaultRowHeight="16.5" x14ac:dyDescent="0.3"/>
  <cols>
    <col min="6" max="6" width="8.875" customWidth="1"/>
    <col min="7" max="7" width="11.25" customWidth="1"/>
    <col min="8" max="8" width="12.125" customWidth="1"/>
    <col min="9" max="9" width="13" customWidth="1"/>
    <col min="10" max="10" width="12.875" customWidth="1"/>
    <col min="13" max="13" width="22.375" customWidth="1"/>
    <col min="15" max="15" width="13.5" customWidth="1"/>
    <col min="16" max="16" width="11.375" customWidth="1"/>
    <col min="17" max="17" width="12.375" customWidth="1"/>
    <col min="18" max="19" width="12.625" customWidth="1"/>
    <col min="21" max="21" width="18.25" customWidth="1"/>
  </cols>
  <sheetData>
    <row r="1" spans="1:22" x14ac:dyDescent="0.3">
      <c r="A1" s="3" t="s">
        <v>0</v>
      </c>
      <c r="B1" s="3" t="s">
        <v>1</v>
      </c>
      <c r="C1" s="3" t="s">
        <v>19</v>
      </c>
      <c r="D1" s="3" t="s">
        <v>20</v>
      </c>
      <c r="E1" s="3" t="s">
        <v>2</v>
      </c>
      <c r="F1" s="12" t="s">
        <v>13</v>
      </c>
      <c r="G1" s="3" t="s">
        <v>12</v>
      </c>
      <c r="H1" s="3" t="s">
        <v>11</v>
      </c>
      <c r="I1" s="3" t="s">
        <v>10</v>
      </c>
      <c r="J1" s="3" t="s">
        <v>14</v>
      </c>
      <c r="K1" s="3" t="s">
        <v>3</v>
      </c>
      <c r="L1" s="3" t="s">
        <v>7</v>
      </c>
      <c r="M1" s="3" t="s">
        <v>9</v>
      </c>
      <c r="N1" s="3" t="s">
        <v>16</v>
      </c>
      <c r="O1" s="3" t="s">
        <v>15</v>
      </c>
      <c r="P1" s="3" t="s">
        <v>5</v>
      </c>
      <c r="Q1" s="3" t="s">
        <v>6</v>
      </c>
      <c r="R1" s="3" t="s">
        <v>4</v>
      </c>
      <c r="S1" s="18" t="s">
        <v>21</v>
      </c>
      <c r="T1" s="3" t="s">
        <v>17</v>
      </c>
      <c r="U1" s="13" t="s">
        <v>8</v>
      </c>
      <c r="V1" s="15" t="s">
        <v>18</v>
      </c>
    </row>
    <row r="2" spans="1:22" x14ac:dyDescent="0.25">
      <c r="A2" s="4">
        <v>20250801</v>
      </c>
      <c r="B2" s="4">
        <v>1</v>
      </c>
      <c r="C2" s="4">
        <v>5918.91</v>
      </c>
      <c r="D2" s="4">
        <v>8208.527</v>
      </c>
      <c r="E2" s="5">
        <f>SUM(C2:D2)</f>
        <v>14127.437</v>
      </c>
      <c r="F2" s="5">
        <v>0.2</v>
      </c>
      <c r="G2" s="6">
        <v>0</v>
      </c>
      <c r="H2" s="5">
        <f t="shared" ref="H2:H10" si="0">G2/3.6</f>
        <v>0</v>
      </c>
      <c r="I2" s="7">
        <v>557033.18729999999</v>
      </c>
      <c r="J2" s="7">
        <f>F2*I2*H2</f>
        <v>0</v>
      </c>
      <c r="K2" s="7">
        <f>J2-E2</f>
        <v>-14127.437</v>
      </c>
      <c r="L2" s="8">
        <v>116.19</v>
      </c>
      <c r="M2" s="5">
        <f t="shared" ref="M2:M33" si="1" xml:space="preserve"> J2/1000</f>
        <v>0</v>
      </c>
      <c r="N2" s="5">
        <v>77957</v>
      </c>
      <c r="O2" s="5">
        <f>M2*N2</f>
        <v>0</v>
      </c>
      <c r="P2" s="7">
        <f>(L2+T2)*MAX(0, K2)</f>
        <v>0</v>
      </c>
      <c r="Q2" s="7">
        <f>L2*MAX(0, K2)</f>
        <v>0</v>
      </c>
      <c r="R2" s="11">
        <f>P2-Q2</f>
        <v>0</v>
      </c>
      <c r="S2" s="11">
        <f>M2*N2/MAX(0.1, J2)</f>
        <v>0</v>
      </c>
      <c r="T2" s="9">
        <f>N2/1000</f>
        <v>77.956999999999994</v>
      </c>
      <c r="U2" s="14">
        <f>T2+L2</f>
        <v>194.14699999999999</v>
      </c>
      <c r="V2" s="16">
        <v>10400</v>
      </c>
    </row>
    <row r="3" spans="1:22" x14ac:dyDescent="0.25">
      <c r="A3" s="4">
        <v>20250801</v>
      </c>
      <c r="B3" s="4">
        <v>2</v>
      </c>
      <c r="C3" s="4">
        <v>5160.8999999999996</v>
      </c>
      <c r="D3" s="4">
        <v>8174.4210000000003</v>
      </c>
      <c r="E3" s="5">
        <f t="shared" ref="E3:E66" si="2">SUM(C3:D3)</f>
        <v>13335.321</v>
      </c>
      <c r="F3" s="5">
        <v>0.2</v>
      </c>
      <c r="G3" s="6">
        <v>0</v>
      </c>
      <c r="H3" s="5">
        <f t="shared" si="0"/>
        <v>0</v>
      </c>
      <c r="I3" s="7">
        <v>557033.18729999999</v>
      </c>
      <c r="J3" s="7">
        <f t="shared" ref="J3:J66" si="3">F3*I3*H3</f>
        <v>0</v>
      </c>
      <c r="K3" s="7">
        <f t="shared" ref="K3:K66" si="4">J3-E3</f>
        <v>-13335.321</v>
      </c>
      <c r="L3" s="8">
        <v>113.1</v>
      </c>
      <c r="M3" s="5">
        <f t="shared" si="1"/>
        <v>0</v>
      </c>
      <c r="N3" s="5">
        <v>77957</v>
      </c>
      <c r="O3" s="5">
        <f t="shared" ref="O3:O66" si="5">M3*N3</f>
        <v>0</v>
      </c>
      <c r="P3" s="7">
        <f>(L3+T3)*MAX(0, K3)</f>
        <v>0</v>
      </c>
      <c r="Q3" s="7">
        <f t="shared" ref="Q3:Q66" si="6">L3*MAX(0, K3)</f>
        <v>0</v>
      </c>
      <c r="R3" s="11">
        <f>P3-Q3</f>
        <v>0</v>
      </c>
      <c r="S3" s="11">
        <f t="shared" ref="S3:S66" si="7">M3*N3/MAX(0.1, J3)</f>
        <v>0</v>
      </c>
      <c r="T3" s="9">
        <f>N3/1000</f>
        <v>77.956999999999994</v>
      </c>
      <c r="U3" s="14">
        <f>T3+L3</f>
        <v>191.05699999999999</v>
      </c>
      <c r="V3" s="16">
        <v>10400</v>
      </c>
    </row>
    <row r="4" spans="1:22" x14ac:dyDescent="0.25">
      <c r="A4" s="4">
        <v>20250801</v>
      </c>
      <c r="B4" s="4">
        <v>3</v>
      </c>
      <c r="C4" s="4">
        <v>4616.2929999999997</v>
      </c>
      <c r="D4" s="4">
        <v>8241.7049999999999</v>
      </c>
      <c r="E4" s="5">
        <f t="shared" si="2"/>
        <v>12857.998</v>
      </c>
      <c r="F4" s="5">
        <v>0.2</v>
      </c>
      <c r="G4" s="6">
        <v>0</v>
      </c>
      <c r="H4" s="5">
        <f t="shared" si="0"/>
        <v>0</v>
      </c>
      <c r="I4" s="7">
        <v>557033.18729999999</v>
      </c>
      <c r="J4" s="7">
        <f t="shared" si="3"/>
        <v>0</v>
      </c>
      <c r="K4" s="7">
        <f t="shared" si="4"/>
        <v>-12857.998</v>
      </c>
      <c r="L4" s="8">
        <v>113.1</v>
      </c>
      <c r="M4" s="5">
        <f t="shared" si="1"/>
        <v>0</v>
      </c>
      <c r="N4" s="5">
        <v>77957</v>
      </c>
      <c r="O4" s="5">
        <f t="shared" si="5"/>
        <v>0</v>
      </c>
      <c r="P4" s="7">
        <f>(L4+T4)*MAX(0, K4)</f>
        <v>0</v>
      </c>
      <c r="Q4" s="7">
        <f t="shared" si="6"/>
        <v>0</v>
      </c>
      <c r="R4" s="11">
        <f>P4-Q4</f>
        <v>0</v>
      </c>
      <c r="S4" s="11">
        <f t="shared" si="7"/>
        <v>0</v>
      </c>
      <c r="T4" s="9">
        <f>N4/1000</f>
        <v>77.956999999999994</v>
      </c>
      <c r="U4" s="14">
        <f>T4+L4</f>
        <v>191.05699999999999</v>
      </c>
      <c r="V4" s="16">
        <v>10400</v>
      </c>
    </row>
    <row r="5" spans="1:22" x14ac:dyDescent="0.25">
      <c r="A5" s="4">
        <v>20250801</v>
      </c>
      <c r="B5" s="4">
        <v>4</v>
      </c>
      <c r="C5" s="4">
        <v>4310.3100000000004</v>
      </c>
      <c r="D5" s="4">
        <v>8157.0950000000003</v>
      </c>
      <c r="E5" s="5">
        <f t="shared" si="2"/>
        <v>12467.405000000001</v>
      </c>
      <c r="F5" s="5">
        <v>0.2</v>
      </c>
      <c r="G5" s="6">
        <v>0</v>
      </c>
      <c r="H5" s="5">
        <f t="shared" si="0"/>
        <v>0</v>
      </c>
      <c r="I5" s="7">
        <v>557033.18729999999</v>
      </c>
      <c r="J5" s="7">
        <f>F5*I5*H5</f>
        <v>0</v>
      </c>
      <c r="K5" s="7">
        <f t="shared" si="4"/>
        <v>-12467.405000000001</v>
      </c>
      <c r="L5" s="8">
        <v>109.42</v>
      </c>
      <c r="M5" s="5">
        <f t="shared" si="1"/>
        <v>0</v>
      </c>
      <c r="N5" s="5">
        <v>77957</v>
      </c>
      <c r="O5" s="5">
        <f t="shared" si="5"/>
        <v>0</v>
      </c>
      <c r="P5" s="7">
        <f>(L5+T5)*MAX(0, K5)</f>
        <v>0</v>
      </c>
      <c r="Q5" s="7">
        <f t="shared" si="6"/>
        <v>0</v>
      </c>
      <c r="R5" s="11">
        <f>P5-Q5</f>
        <v>0</v>
      </c>
      <c r="S5" s="11">
        <f t="shared" si="7"/>
        <v>0</v>
      </c>
      <c r="T5" s="9">
        <f>N5/1000</f>
        <v>77.956999999999994</v>
      </c>
      <c r="U5" s="14">
        <f>T5+L5</f>
        <v>187.37700000000001</v>
      </c>
      <c r="V5" s="16">
        <v>10400</v>
      </c>
    </row>
    <row r="6" spans="1:22" x14ac:dyDescent="0.25">
      <c r="A6" s="4">
        <v>20250801</v>
      </c>
      <c r="B6" s="4">
        <v>5</v>
      </c>
      <c r="C6" s="4">
        <v>4121.1980000000003</v>
      </c>
      <c r="D6" s="4">
        <v>8234.3829999999998</v>
      </c>
      <c r="E6" s="5">
        <f t="shared" si="2"/>
        <v>12355.581</v>
      </c>
      <c r="F6" s="5">
        <v>0.2</v>
      </c>
      <c r="G6" s="6">
        <v>0</v>
      </c>
      <c r="H6" s="5">
        <f t="shared" si="0"/>
        <v>0</v>
      </c>
      <c r="I6" s="7">
        <v>557033.18729999999</v>
      </c>
      <c r="J6" s="7">
        <f t="shared" si="3"/>
        <v>0</v>
      </c>
      <c r="K6" s="7">
        <f t="shared" si="4"/>
        <v>-12355.581</v>
      </c>
      <c r="L6" s="8">
        <v>111.26</v>
      </c>
      <c r="M6" s="5">
        <f t="shared" si="1"/>
        <v>0</v>
      </c>
      <c r="N6" s="5">
        <v>77957</v>
      </c>
      <c r="O6" s="5">
        <f t="shared" si="5"/>
        <v>0</v>
      </c>
      <c r="P6" s="7">
        <f>(L6+T6)*MAX(0, K6)</f>
        <v>0</v>
      </c>
      <c r="Q6" s="7">
        <f t="shared" si="6"/>
        <v>0</v>
      </c>
      <c r="R6" s="11">
        <f>P6-Q6</f>
        <v>0</v>
      </c>
      <c r="S6" s="11">
        <f t="shared" si="7"/>
        <v>0</v>
      </c>
      <c r="T6" s="9">
        <f>N6/1000</f>
        <v>77.956999999999994</v>
      </c>
      <c r="U6" s="14">
        <f>T6+L6</f>
        <v>189.21699999999998</v>
      </c>
      <c r="V6" s="16">
        <v>10400</v>
      </c>
    </row>
    <row r="7" spans="1:22" x14ac:dyDescent="0.25">
      <c r="A7" s="4">
        <v>20250801</v>
      </c>
      <c r="B7" s="4">
        <v>6</v>
      </c>
      <c r="C7" s="4">
        <v>3943.6460000000002</v>
      </c>
      <c r="D7" s="4">
        <v>8356.9560000000001</v>
      </c>
      <c r="E7" s="5">
        <f t="shared" si="2"/>
        <v>12300.602000000001</v>
      </c>
      <c r="F7" s="5">
        <v>0.2</v>
      </c>
      <c r="G7" s="6">
        <v>0</v>
      </c>
      <c r="H7" s="5">
        <f t="shared" si="0"/>
        <v>0</v>
      </c>
      <c r="I7" s="7">
        <v>557033.18729999999</v>
      </c>
      <c r="J7" s="7">
        <f>F7*I7*H7</f>
        <v>0</v>
      </c>
      <c r="K7" s="7">
        <f t="shared" si="4"/>
        <v>-12300.602000000001</v>
      </c>
      <c r="L7" s="8">
        <v>113.1</v>
      </c>
      <c r="M7" s="5">
        <f t="shared" si="1"/>
        <v>0</v>
      </c>
      <c r="N7" s="5">
        <v>77957</v>
      </c>
      <c r="O7" s="5">
        <f t="shared" si="5"/>
        <v>0</v>
      </c>
      <c r="P7" s="7">
        <f>(L7+T7)*MAX(0, K7)</f>
        <v>0</v>
      </c>
      <c r="Q7" s="7">
        <f t="shared" si="6"/>
        <v>0</v>
      </c>
      <c r="R7" s="11">
        <f>P7-Q7</f>
        <v>0</v>
      </c>
      <c r="S7" s="11">
        <f t="shared" si="7"/>
        <v>0</v>
      </c>
      <c r="T7" s="9">
        <f>N7/1000</f>
        <v>77.956999999999994</v>
      </c>
      <c r="U7" s="14">
        <f>T7+L7</f>
        <v>191.05699999999999</v>
      </c>
      <c r="V7" s="16">
        <v>10400</v>
      </c>
    </row>
    <row r="8" spans="1:22" x14ac:dyDescent="0.25">
      <c r="A8" s="4">
        <v>20250801</v>
      </c>
      <c r="B8" s="4">
        <v>7</v>
      </c>
      <c r="C8" s="4">
        <v>4383.3639999999996</v>
      </c>
      <c r="D8" s="4">
        <v>8872.0020000000004</v>
      </c>
      <c r="E8" s="5">
        <f t="shared" si="2"/>
        <v>13255.366</v>
      </c>
      <c r="F8" s="5">
        <v>0.2</v>
      </c>
      <c r="G8" s="6">
        <v>0</v>
      </c>
      <c r="H8" s="5">
        <f t="shared" si="0"/>
        <v>0</v>
      </c>
      <c r="I8" s="7">
        <v>557033.18729999999</v>
      </c>
      <c r="J8" s="7">
        <f t="shared" si="3"/>
        <v>0</v>
      </c>
      <c r="K8" s="7">
        <f t="shared" si="4"/>
        <v>-13255.366</v>
      </c>
      <c r="L8" s="8">
        <v>113.1</v>
      </c>
      <c r="M8" s="5">
        <f t="shared" si="1"/>
        <v>0</v>
      </c>
      <c r="N8" s="5">
        <v>77957</v>
      </c>
      <c r="O8" s="5">
        <f t="shared" si="5"/>
        <v>0</v>
      </c>
      <c r="P8" s="7">
        <f>(L8+T8)*MAX(0, K8)</f>
        <v>0</v>
      </c>
      <c r="Q8" s="7">
        <f t="shared" si="6"/>
        <v>0</v>
      </c>
      <c r="R8" s="11">
        <f>P8-Q8</f>
        <v>0</v>
      </c>
      <c r="S8" s="11">
        <f t="shared" si="7"/>
        <v>0</v>
      </c>
      <c r="T8" s="9">
        <f>N8/1000</f>
        <v>77.956999999999994</v>
      </c>
      <c r="U8" s="14">
        <f>T8+L8</f>
        <v>191.05699999999999</v>
      </c>
      <c r="V8" s="16">
        <v>10400</v>
      </c>
    </row>
    <row r="9" spans="1:22" x14ac:dyDescent="0.25">
      <c r="A9" s="4">
        <v>20250801</v>
      </c>
      <c r="B9" s="4">
        <v>8</v>
      </c>
      <c r="C9" s="4">
        <v>4961.634</v>
      </c>
      <c r="D9" s="4">
        <v>10645.206</v>
      </c>
      <c r="E9" s="5">
        <f t="shared" si="2"/>
        <v>15606.84</v>
      </c>
      <c r="F9" s="5">
        <v>0.2</v>
      </c>
      <c r="G9" s="6">
        <v>0.11</v>
      </c>
      <c r="H9" s="5">
        <f t="shared" si="0"/>
        <v>3.0555555555555555E-2</v>
      </c>
      <c r="I9" s="7">
        <v>557033.18729999999</v>
      </c>
      <c r="J9" s="7">
        <f>F9*I9*H9</f>
        <v>3404.0917001666667</v>
      </c>
      <c r="K9" s="7">
        <f t="shared" si="4"/>
        <v>-12202.748299833333</v>
      </c>
      <c r="L9" s="8">
        <v>119.33</v>
      </c>
      <c r="M9" s="5">
        <f xml:space="preserve"> J9/1000</f>
        <v>3.4040917001666666</v>
      </c>
      <c r="N9" s="5">
        <v>77957</v>
      </c>
      <c r="O9" s="5">
        <f>M9*N9</f>
        <v>265372.77666989283</v>
      </c>
      <c r="P9" s="7">
        <f>(L9+T9)*MAX(0, K9)</f>
        <v>0</v>
      </c>
      <c r="Q9" s="7">
        <f t="shared" si="6"/>
        <v>0</v>
      </c>
      <c r="R9" s="11">
        <f>P9-Q9</f>
        <v>0</v>
      </c>
      <c r="S9" s="11">
        <f t="shared" si="7"/>
        <v>77.956999999999994</v>
      </c>
      <c r="T9" s="9">
        <f>N9/1000</f>
        <v>77.956999999999994</v>
      </c>
      <c r="U9" s="14">
        <f>T9+L9</f>
        <v>197.28699999999998</v>
      </c>
      <c r="V9" s="16">
        <v>10400</v>
      </c>
    </row>
    <row r="10" spans="1:22" x14ac:dyDescent="0.25">
      <c r="A10" s="4">
        <v>20250801</v>
      </c>
      <c r="B10" s="4">
        <v>9</v>
      </c>
      <c r="C10" s="4">
        <v>5695.2420000000002</v>
      </c>
      <c r="D10" s="4">
        <v>12212.371999999999</v>
      </c>
      <c r="E10" s="5">
        <f t="shared" si="2"/>
        <v>17907.614000000001</v>
      </c>
      <c r="F10" s="5">
        <v>0.2</v>
      </c>
      <c r="G10" s="6">
        <v>0.28000000000000003</v>
      </c>
      <c r="H10" s="5">
        <f t="shared" si="0"/>
        <v>7.7777777777777779E-2</v>
      </c>
      <c r="I10" s="7">
        <v>557033.18729999999</v>
      </c>
      <c r="J10" s="7">
        <f t="shared" si="3"/>
        <v>8664.9606913333337</v>
      </c>
      <c r="K10" s="7">
        <f t="shared" si="4"/>
        <v>-9242.6533086666677</v>
      </c>
      <c r="L10" s="8">
        <v>119.15</v>
      </c>
      <c r="M10" s="5">
        <f xml:space="preserve"> J10/1000</f>
        <v>8.6649606913333344</v>
      </c>
      <c r="N10" s="5">
        <v>77957</v>
      </c>
      <c r="O10" s="5">
        <f>M10*N10</f>
        <v>675494.34061427275</v>
      </c>
      <c r="P10" s="7">
        <f>(L10+T10)*MAX(0, K10)</f>
        <v>0</v>
      </c>
      <c r="Q10" s="7">
        <f t="shared" si="6"/>
        <v>0</v>
      </c>
      <c r="R10" s="11">
        <f>P10-Q10</f>
        <v>0</v>
      </c>
      <c r="S10" s="11">
        <f t="shared" si="7"/>
        <v>77.957000000000008</v>
      </c>
      <c r="T10" s="9">
        <f>N10/1000</f>
        <v>77.956999999999994</v>
      </c>
      <c r="U10" s="14">
        <f>T10+L10</f>
        <v>197.107</v>
      </c>
      <c r="V10" s="16">
        <v>10400</v>
      </c>
    </row>
    <row r="11" spans="1:22" x14ac:dyDescent="0.25">
      <c r="A11" s="4">
        <v>20250801</v>
      </c>
      <c r="B11" s="4">
        <v>10</v>
      </c>
      <c r="C11" s="4">
        <v>6058.0829999999996</v>
      </c>
      <c r="D11" s="4">
        <v>13325.455</v>
      </c>
      <c r="E11" s="5">
        <f t="shared" si="2"/>
        <v>19383.538</v>
      </c>
      <c r="F11" s="5">
        <v>0.2</v>
      </c>
      <c r="G11" s="6">
        <v>0.33</v>
      </c>
      <c r="H11" s="5">
        <f t="shared" ref="H11:H74" si="8">G11/3.6</f>
        <v>9.1666666666666674E-2</v>
      </c>
      <c r="I11" s="7">
        <v>557033.18729999999</v>
      </c>
      <c r="J11" s="7">
        <f t="shared" si="3"/>
        <v>10212.275100500001</v>
      </c>
      <c r="K11" s="7">
        <f t="shared" si="4"/>
        <v>-9171.2628994999995</v>
      </c>
      <c r="L11" s="8">
        <v>119.04</v>
      </c>
      <c r="M11" s="5">
        <f t="shared" si="1"/>
        <v>10.212275100500001</v>
      </c>
      <c r="N11" s="5">
        <v>77957</v>
      </c>
      <c r="O11" s="5">
        <f>M11*N11</f>
        <v>796118.33000967861</v>
      </c>
      <c r="P11" s="7">
        <f>(L11+T11)*MAX(0, K11)</f>
        <v>0</v>
      </c>
      <c r="Q11" s="7">
        <f t="shared" si="6"/>
        <v>0</v>
      </c>
      <c r="R11" s="11">
        <f>P11-Q11</f>
        <v>0</v>
      </c>
      <c r="S11" s="11">
        <f t="shared" si="7"/>
        <v>77.957000000000008</v>
      </c>
      <c r="T11" s="9">
        <f>N11/1000</f>
        <v>77.956999999999994</v>
      </c>
      <c r="U11" s="14">
        <f>T11+L11</f>
        <v>196.99700000000001</v>
      </c>
      <c r="V11" s="16">
        <v>10400</v>
      </c>
    </row>
    <row r="12" spans="1:22" x14ac:dyDescent="0.25">
      <c r="A12" s="4">
        <v>20250801</v>
      </c>
      <c r="B12" s="4">
        <v>11</v>
      </c>
      <c r="C12" s="4">
        <v>6242.5519999999997</v>
      </c>
      <c r="D12" s="4">
        <v>13462.558999999999</v>
      </c>
      <c r="E12" s="5">
        <f t="shared" si="2"/>
        <v>19705.110999999997</v>
      </c>
      <c r="F12" s="5">
        <v>0.2</v>
      </c>
      <c r="G12" s="6">
        <v>0.40999999999999992</v>
      </c>
      <c r="H12" s="5">
        <f t="shared" si="8"/>
        <v>0.11388888888888886</v>
      </c>
      <c r="I12" s="7">
        <v>557033.18729999999</v>
      </c>
      <c r="J12" s="7">
        <f t="shared" si="3"/>
        <v>12687.978155166664</v>
      </c>
      <c r="K12" s="7">
        <f t="shared" si="4"/>
        <v>-7017.1328448333334</v>
      </c>
      <c r="L12" s="8">
        <v>118.97</v>
      </c>
      <c r="M12" s="5">
        <f t="shared" si="1"/>
        <v>12.687978155166665</v>
      </c>
      <c r="N12" s="5">
        <v>77957</v>
      </c>
      <c r="O12" s="5">
        <f t="shared" si="5"/>
        <v>989116.71304232767</v>
      </c>
      <c r="P12" s="7">
        <f>(L12+T12)*MAX(0, K12)</f>
        <v>0</v>
      </c>
      <c r="Q12" s="7">
        <f t="shared" si="6"/>
        <v>0</v>
      </c>
      <c r="R12" s="11">
        <f>P12-Q12</f>
        <v>0</v>
      </c>
      <c r="S12" s="11">
        <f t="shared" si="7"/>
        <v>77.957000000000008</v>
      </c>
      <c r="T12" s="9">
        <f>N12/1000</f>
        <v>77.956999999999994</v>
      </c>
      <c r="U12" s="14">
        <f>T12+L12</f>
        <v>196.92699999999999</v>
      </c>
      <c r="V12" s="16">
        <v>10400</v>
      </c>
    </row>
    <row r="13" spans="1:22" x14ac:dyDescent="0.25">
      <c r="A13" s="4">
        <v>20250801</v>
      </c>
      <c r="B13" s="4">
        <v>12</v>
      </c>
      <c r="C13" s="4">
        <v>6676.7290000000003</v>
      </c>
      <c r="D13" s="4">
        <v>13740.332</v>
      </c>
      <c r="E13" s="5">
        <f t="shared" si="2"/>
        <v>20417.061000000002</v>
      </c>
      <c r="F13" s="5">
        <v>0.2</v>
      </c>
      <c r="G13" s="6">
        <v>0.71000000000000019</v>
      </c>
      <c r="H13" s="5">
        <f t="shared" si="8"/>
        <v>0.19722222222222227</v>
      </c>
      <c r="I13" s="7">
        <v>557033.18729999999</v>
      </c>
      <c r="J13" s="7">
        <f t="shared" si="3"/>
        <v>21971.864610166671</v>
      </c>
      <c r="K13" s="7">
        <f t="shared" si="4"/>
        <v>1554.8036101666694</v>
      </c>
      <c r="L13" s="8">
        <v>120.34</v>
      </c>
      <c r="M13" s="5">
        <f t="shared" si="1"/>
        <v>21.971864610166669</v>
      </c>
      <c r="N13" s="5">
        <v>77957</v>
      </c>
      <c r="O13" s="5">
        <f t="shared" si="5"/>
        <v>1712860.6494147631</v>
      </c>
      <c r="P13" s="7">
        <f>(L13+T13)*MAX(0, K13)</f>
        <v>308312.89148522005</v>
      </c>
      <c r="Q13" s="7">
        <f t="shared" si="6"/>
        <v>187105.06644745701</v>
      </c>
      <c r="R13" s="11">
        <f>P13-Q13</f>
        <v>121207.82503776305</v>
      </c>
      <c r="S13" s="11">
        <f t="shared" si="7"/>
        <v>77.956999999999994</v>
      </c>
      <c r="T13" s="9">
        <f>N13/1000</f>
        <v>77.956999999999994</v>
      </c>
      <c r="U13" s="14">
        <f>T13+L13</f>
        <v>198.297</v>
      </c>
      <c r="V13" s="16">
        <v>10400</v>
      </c>
    </row>
    <row r="14" spans="1:22" x14ac:dyDescent="0.25">
      <c r="A14" s="4">
        <v>20250801</v>
      </c>
      <c r="B14" s="4">
        <v>13</v>
      </c>
      <c r="C14" s="4">
        <v>6802.6980000000003</v>
      </c>
      <c r="D14" s="4">
        <v>12819.529</v>
      </c>
      <c r="E14" s="5">
        <f t="shared" si="2"/>
        <v>19622.226999999999</v>
      </c>
      <c r="F14" s="5">
        <v>0.2</v>
      </c>
      <c r="G14" s="6">
        <v>1.55</v>
      </c>
      <c r="H14" s="5">
        <f t="shared" si="8"/>
        <v>0.43055555555555558</v>
      </c>
      <c r="I14" s="7">
        <v>557033.18729999999</v>
      </c>
      <c r="J14" s="7">
        <f t="shared" si="3"/>
        <v>47966.746684166668</v>
      </c>
      <c r="K14" s="7">
        <f t="shared" si="4"/>
        <v>28344.519684166669</v>
      </c>
      <c r="L14" s="8">
        <v>120.34</v>
      </c>
      <c r="M14" s="5">
        <f t="shared" si="1"/>
        <v>47.966746684166665</v>
      </c>
      <c r="N14" s="5">
        <v>77957</v>
      </c>
      <c r="O14" s="5">
        <f t="shared" si="5"/>
        <v>3739343.6712575806</v>
      </c>
      <c r="P14" s="7">
        <f>(L14+T14)*MAX(0, K14)</f>
        <v>5620633.2198111983</v>
      </c>
      <c r="Q14" s="7">
        <f t="shared" si="6"/>
        <v>3410979.4987926171</v>
      </c>
      <c r="R14" s="11">
        <f>P14-Q14</f>
        <v>2209653.7210185812</v>
      </c>
      <c r="S14" s="11">
        <f t="shared" si="7"/>
        <v>77.956999999999994</v>
      </c>
      <c r="T14" s="9">
        <f>N14/1000</f>
        <v>77.956999999999994</v>
      </c>
      <c r="U14" s="14">
        <f>T14+L14</f>
        <v>198.297</v>
      </c>
      <c r="V14" s="16">
        <v>10400</v>
      </c>
    </row>
    <row r="15" spans="1:22" x14ac:dyDescent="0.25">
      <c r="A15" s="4">
        <v>20250801</v>
      </c>
      <c r="B15" s="4">
        <v>14</v>
      </c>
      <c r="C15" s="4">
        <v>6457.1480000000001</v>
      </c>
      <c r="D15" s="4">
        <v>12866.373</v>
      </c>
      <c r="E15" s="5">
        <f t="shared" si="2"/>
        <v>19323.521000000001</v>
      </c>
      <c r="F15" s="5">
        <v>0.2</v>
      </c>
      <c r="G15" s="6">
        <v>1.83</v>
      </c>
      <c r="H15" s="5">
        <f t="shared" si="8"/>
        <v>0.5083333333333333</v>
      </c>
      <c r="I15" s="7">
        <v>557033.18729999999</v>
      </c>
      <c r="J15" s="7">
        <f t="shared" si="3"/>
        <v>56631.707375499995</v>
      </c>
      <c r="K15" s="7">
        <f t="shared" si="4"/>
        <v>37308.186375499994</v>
      </c>
      <c r="L15" s="8">
        <v>120.34</v>
      </c>
      <c r="M15" s="5">
        <f t="shared" si="1"/>
        <v>56.631707375499992</v>
      </c>
      <c r="N15" s="5">
        <v>77957</v>
      </c>
      <c r="O15" s="5">
        <f t="shared" si="5"/>
        <v>4414838.0118718529</v>
      </c>
      <c r="P15" s="7">
        <f>(L15+T15)*MAX(0, K15)</f>
        <v>7398101.433702522</v>
      </c>
      <c r="Q15" s="7">
        <f t="shared" si="6"/>
        <v>4489667.148427669</v>
      </c>
      <c r="R15" s="11">
        <f>P15-Q15</f>
        <v>2908434.285274853</v>
      </c>
      <c r="S15" s="11">
        <f t="shared" si="7"/>
        <v>77.956999999999994</v>
      </c>
      <c r="T15" s="9">
        <f>N15/1000</f>
        <v>77.956999999999994</v>
      </c>
      <c r="U15" s="14">
        <f>T15+L15</f>
        <v>198.297</v>
      </c>
      <c r="V15" s="16">
        <v>10400</v>
      </c>
    </row>
    <row r="16" spans="1:22" x14ac:dyDescent="0.25">
      <c r="A16" s="4">
        <v>20250801</v>
      </c>
      <c r="B16" s="4">
        <v>15</v>
      </c>
      <c r="C16" s="4">
        <v>6414.9309999999996</v>
      </c>
      <c r="D16" s="4">
        <v>12840.221</v>
      </c>
      <c r="E16" s="5">
        <f t="shared" si="2"/>
        <v>19255.151999999998</v>
      </c>
      <c r="F16" s="5">
        <v>0.2</v>
      </c>
      <c r="G16" s="6">
        <v>3.05</v>
      </c>
      <c r="H16" s="5">
        <f t="shared" si="8"/>
        <v>0.8472222222222221</v>
      </c>
      <c r="I16" s="7">
        <v>557033.18729999999</v>
      </c>
      <c r="J16" s="7">
        <f t="shared" si="3"/>
        <v>94386.178959166646</v>
      </c>
      <c r="K16" s="7">
        <f t="shared" si="4"/>
        <v>75131.026959166644</v>
      </c>
      <c r="L16" s="8">
        <v>126.65</v>
      </c>
      <c r="M16" s="5">
        <f t="shared" si="1"/>
        <v>94.386178959166642</v>
      </c>
      <c r="N16" s="5">
        <v>77957</v>
      </c>
      <c r="O16" s="5">
        <f t="shared" si="5"/>
        <v>7358063.3531197542</v>
      </c>
      <c r="P16" s="7">
        <f>(L16+T16)*MAX(0, K16)</f>
        <v>15372334.033034209</v>
      </c>
      <c r="Q16" s="7">
        <f t="shared" si="6"/>
        <v>9515344.5643784553</v>
      </c>
      <c r="R16" s="11">
        <f>P16-Q16</f>
        <v>5856989.4686557539</v>
      </c>
      <c r="S16" s="11">
        <f t="shared" si="7"/>
        <v>77.956999999999994</v>
      </c>
      <c r="T16" s="9">
        <f>N16/1000</f>
        <v>77.956999999999994</v>
      </c>
      <c r="U16" s="14">
        <f>T16+L16</f>
        <v>204.607</v>
      </c>
      <c r="V16" s="16">
        <v>10400</v>
      </c>
    </row>
    <row r="17" spans="1:22" x14ac:dyDescent="0.25">
      <c r="A17" s="4">
        <v>20250801</v>
      </c>
      <c r="B17" s="4">
        <v>16</v>
      </c>
      <c r="C17" s="4">
        <v>6393.915</v>
      </c>
      <c r="D17" s="4">
        <v>12825.728999999999</v>
      </c>
      <c r="E17" s="5">
        <f t="shared" si="2"/>
        <v>19219.644</v>
      </c>
      <c r="F17" s="5">
        <v>0.2</v>
      </c>
      <c r="G17" s="6">
        <v>2.7100000000000009</v>
      </c>
      <c r="H17" s="5">
        <f t="shared" si="8"/>
        <v>0.75277777777777799</v>
      </c>
      <c r="I17" s="7">
        <v>557033.18729999999</v>
      </c>
      <c r="J17" s="7">
        <f t="shared" si="3"/>
        <v>83864.440976833357</v>
      </c>
      <c r="K17" s="7">
        <f t="shared" si="4"/>
        <v>64644.796976833357</v>
      </c>
      <c r="L17" s="8">
        <v>129.97999999999999</v>
      </c>
      <c r="M17" s="5">
        <f t="shared" si="1"/>
        <v>83.86444097683335</v>
      </c>
      <c r="N17" s="5">
        <v>77957</v>
      </c>
      <c r="O17" s="5">
        <f t="shared" si="5"/>
        <v>6537820.2252309974</v>
      </c>
      <c r="P17" s="7">
        <f>(L17+T17)*MAX(0, K17)</f>
        <v>13442045.148971796</v>
      </c>
      <c r="Q17" s="7">
        <f t="shared" si="6"/>
        <v>8402530.7110487986</v>
      </c>
      <c r="R17" s="11">
        <f>P17-Q17</f>
        <v>5039514.4379229974</v>
      </c>
      <c r="S17" s="11">
        <f t="shared" si="7"/>
        <v>77.956999999999994</v>
      </c>
      <c r="T17" s="9">
        <f>N17/1000</f>
        <v>77.956999999999994</v>
      </c>
      <c r="U17" s="14">
        <f>T17+L17</f>
        <v>207.93699999999998</v>
      </c>
      <c r="V17" s="16">
        <v>10400</v>
      </c>
    </row>
    <row r="18" spans="1:22" x14ac:dyDescent="0.25">
      <c r="A18" s="4">
        <v>20250801</v>
      </c>
      <c r="B18" s="4">
        <v>17</v>
      </c>
      <c r="C18" s="4">
        <v>6525.0609999999997</v>
      </c>
      <c r="D18" s="4">
        <v>12618.362999999999</v>
      </c>
      <c r="E18" s="5">
        <f t="shared" si="2"/>
        <v>19143.423999999999</v>
      </c>
      <c r="F18" s="5">
        <v>0.2</v>
      </c>
      <c r="G18" s="6">
        <v>1.139999999999999</v>
      </c>
      <c r="H18" s="5">
        <f t="shared" si="8"/>
        <v>0.31666666666666637</v>
      </c>
      <c r="I18" s="7">
        <v>557033.18729999999</v>
      </c>
      <c r="J18" s="7">
        <f t="shared" si="3"/>
        <v>35278.768528999964</v>
      </c>
      <c r="K18" s="7">
        <f t="shared" si="4"/>
        <v>16135.344528999965</v>
      </c>
      <c r="L18" s="8">
        <v>124.89</v>
      </c>
      <c r="M18" s="5">
        <f t="shared" si="1"/>
        <v>35.278768528999962</v>
      </c>
      <c r="N18" s="5">
        <v>77957</v>
      </c>
      <c r="O18" s="5">
        <f t="shared" si="5"/>
        <v>2750226.9582152502</v>
      </c>
      <c r="P18" s="7">
        <f>(L18+T18)*MAX(0, K18)</f>
        <v>3273006.2316740556</v>
      </c>
      <c r="Q18" s="7">
        <f t="shared" si="6"/>
        <v>2015143.1782268058</v>
      </c>
      <c r="R18" s="11">
        <f>P18-Q18</f>
        <v>1257863.0534472498</v>
      </c>
      <c r="S18" s="11">
        <f t="shared" si="7"/>
        <v>77.956999999999994</v>
      </c>
      <c r="T18" s="9">
        <f>N18/1000</f>
        <v>77.956999999999994</v>
      </c>
      <c r="U18" s="14">
        <f>T18+L18</f>
        <v>202.84699999999998</v>
      </c>
      <c r="V18" s="16">
        <v>10400</v>
      </c>
    </row>
    <row r="19" spans="1:22" x14ac:dyDescent="0.25">
      <c r="A19" s="4">
        <v>20250801</v>
      </c>
      <c r="B19" s="4">
        <v>18</v>
      </c>
      <c r="C19" s="4">
        <v>7042.643</v>
      </c>
      <c r="D19" s="4">
        <v>11383.065000000001</v>
      </c>
      <c r="E19" s="5">
        <f t="shared" si="2"/>
        <v>18425.707999999999</v>
      </c>
      <c r="F19" s="5">
        <v>0.2</v>
      </c>
      <c r="G19" s="6">
        <v>0.85000000000000142</v>
      </c>
      <c r="H19" s="5">
        <f t="shared" si="8"/>
        <v>0.23611111111111149</v>
      </c>
      <c r="I19" s="7">
        <v>557033.18729999999</v>
      </c>
      <c r="J19" s="7">
        <f t="shared" si="3"/>
        <v>26304.344955833374</v>
      </c>
      <c r="K19" s="7">
        <f t="shared" si="4"/>
        <v>7878.6369558333754</v>
      </c>
      <c r="L19" s="8">
        <v>125.41</v>
      </c>
      <c r="M19" s="5">
        <f t="shared" si="1"/>
        <v>26.304344955833376</v>
      </c>
      <c r="N19" s="5">
        <v>77957</v>
      </c>
      <c r="O19" s="5">
        <f t="shared" si="5"/>
        <v>2050607.8197219025</v>
      </c>
      <c r="P19" s="7">
        <f>(L19+T19)*MAX(0, K19)</f>
        <v>1602254.761796966</v>
      </c>
      <c r="Q19" s="7">
        <f t="shared" si="6"/>
        <v>988059.86063106358</v>
      </c>
      <c r="R19" s="11">
        <f>P19-Q19</f>
        <v>614194.90116590238</v>
      </c>
      <c r="S19" s="11">
        <f t="shared" si="7"/>
        <v>77.957000000000008</v>
      </c>
      <c r="T19" s="9">
        <f>N19/1000</f>
        <v>77.956999999999994</v>
      </c>
      <c r="U19" s="14">
        <f>T19+L19</f>
        <v>203.36699999999999</v>
      </c>
      <c r="V19" s="16">
        <v>10400</v>
      </c>
    </row>
    <row r="20" spans="1:22" x14ac:dyDescent="0.25">
      <c r="A20" s="4">
        <v>20250801</v>
      </c>
      <c r="B20" s="4">
        <v>19</v>
      </c>
      <c r="C20" s="4">
        <v>7627.0309999999999</v>
      </c>
      <c r="D20" s="4">
        <v>9688.0159999999996</v>
      </c>
      <c r="E20" s="5">
        <f t="shared" si="2"/>
        <v>17315.046999999999</v>
      </c>
      <c r="F20" s="5">
        <v>0.2</v>
      </c>
      <c r="G20" s="6">
        <v>0.37999999999999901</v>
      </c>
      <c r="H20" s="5">
        <f t="shared" si="8"/>
        <v>0.10555555555555528</v>
      </c>
      <c r="I20" s="7">
        <v>557033.18729999999</v>
      </c>
      <c r="J20" s="7">
        <f t="shared" si="3"/>
        <v>11759.589509666635</v>
      </c>
      <c r="K20" s="7">
        <f t="shared" si="4"/>
        <v>-5555.4574903333632</v>
      </c>
      <c r="L20" s="8">
        <v>124.76</v>
      </c>
      <c r="M20" s="5">
        <f t="shared" si="1"/>
        <v>11.759589509666636</v>
      </c>
      <c r="N20" s="5">
        <v>77957</v>
      </c>
      <c r="O20" s="5">
        <f t="shared" si="5"/>
        <v>916742.31940508191</v>
      </c>
      <c r="P20" s="7">
        <f>(L20+T20)*MAX(0, K20)</f>
        <v>0</v>
      </c>
      <c r="Q20" s="7">
        <f t="shared" si="6"/>
        <v>0</v>
      </c>
      <c r="R20" s="11">
        <f>P20-Q20</f>
        <v>0</v>
      </c>
      <c r="S20" s="11">
        <f t="shared" si="7"/>
        <v>77.957000000000008</v>
      </c>
      <c r="T20" s="9">
        <f>N20/1000</f>
        <v>77.956999999999994</v>
      </c>
      <c r="U20" s="14">
        <f>T20+L20</f>
        <v>202.71699999999998</v>
      </c>
      <c r="V20" s="16">
        <v>10400</v>
      </c>
    </row>
    <row r="21" spans="1:22" x14ac:dyDescent="0.25">
      <c r="A21" s="4">
        <v>20250801</v>
      </c>
      <c r="B21" s="4">
        <v>20</v>
      </c>
      <c r="C21" s="4">
        <v>7749.8919999999998</v>
      </c>
      <c r="D21" s="4">
        <v>9122.2129999999997</v>
      </c>
      <c r="E21" s="5">
        <f t="shared" si="2"/>
        <v>16872.105</v>
      </c>
      <c r="F21" s="5">
        <v>0.2</v>
      </c>
      <c r="G21" s="6">
        <v>0.25999999999999979</v>
      </c>
      <c r="H21" s="5">
        <f t="shared" si="8"/>
        <v>7.222222222222216E-2</v>
      </c>
      <c r="I21" s="7">
        <v>557033.18729999999</v>
      </c>
      <c r="J21" s="7">
        <f t="shared" si="3"/>
        <v>8046.0349276666593</v>
      </c>
      <c r="K21" s="7">
        <f t="shared" si="4"/>
        <v>-8826.0700723333393</v>
      </c>
      <c r="L21" s="8">
        <v>124.76</v>
      </c>
      <c r="M21" s="5">
        <f t="shared" si="1"/>
        <v>8.0460349276666587</v>
      </c>
      <c r="N21" s="5">
        <v>77957</v>
      </c>
      <c r="O21" s="5">
        <f t="shared" si="5"/>
        <v>627244.74485610973</v>
      </c>
      <c r="P21" s="7">
        <f>(L21+T21)*MAX(0, K21)</f>
        <v>0</v>
      </c>
      <c r="Q21" s="7">
        <f t="shared" si="6"/>
        <v>0</v>
      </c>
      <c r="R21" s="11">
        <f>P21-Q21</f>
        <v>0</v>
      </c>
      <c r="S21" s="11">
        <f t="shared" si="7"/>
        <v>77.956999999999994</v>
      </c>
      <c r="T21" s="9">
        <f>N21/1000</f>
        <v>77.956999999999994</v>
      </c>
      <c r="U21" s="14">
        <f>T21+L21</f>
        <v>202.71699999999998</v>
      </c>
      <c r="V21" s="16">
        <v>10400</v>
      </c>
    </row>
    <row r="22" spans="1:22" x14ac:dyDescent="0.25">
      <c r="A22" s="4">
        <v>20250801</v>
      </c>
      <c r="B22" s="4">
        <v>21</v>
      </c>
      <c r="C22" s="4">
        <v>7742.4009999999998</v>
      </c>
      <c r="D22" s="4">
        <v>8494.5239999999994</v>
      </c>
      <c r="E22" s="5">
        <f t="shared" si="2"/>
        <v>16236.924999999999</v>
      </c>
      <c r="F22" s="5">
        <v>0.2</v>
      </c>
      <c r="G22" s="6">
        <v>9.9999999999997868E-3</v>
      </c>
      <c r="H22" s="5">
        <f t="shared" si="8"/>
        <v>2.7777777777777185E-3</v>
      </c>
      <c r="I22" s="7">
        <v>557033.18729999999</v>
      </c>
      <c r="J22" s="7">
        <f t="shared" si="3"/>
        <v>309.46288183332672</v>
      </c>
      <c r="K22" s="7">
        <f t="shared" si="4"/>
        <v>-15927.462118166673</v>
      </c>
      <c r="L22" s="8">
        <v>121.6</v>
      </c>
      <c r="M22" s="5">
        <f t="shared" si="1"/>
        <v>0.30946288183332671</v>
      </c>
      <c r="N22" s="5">
        <v>77957</v>
      </c>
      <c r="O22" s="5">
        <f t="shared" si="5"/>
        <v>24124.797879080652</v>
      </c>
      <c r="P22" s="7">
        <f>(L22+T22)*MAX(0, K22)</f>
        <v>0</v>
      </c>
      <c r="Q22" s="7">
        <f t="shared" si="6"/>
        <v>0</v>
      </c>
      <c r="R22" s="11">
        <f>P22-Q22</f>
        <v>0</v>
      </c>
      <c r="S22" s="11">
        <f t="shared" si="7"/>
        <v>77.957000000000008</v>
      </c>
      <c r="T22" s="9">
        <f>N22/1000</f>
        <v>77.956999999999994</v>
      </c>
      <c r="U22" s="14">
        <f>T22+L22</f>
        <v>199.55699999999999</v>
      </c>
      <c r="V22" s="16">
        <v>10400</v>
      </c>
    </row>
    <row r="23" spans="1:22" x14ac:dyDescent="0.25">
      <c r="A23" s="4">
        <v>20250801</v>
      </c>
      <c r="B23" s="4">
        <v>22</v>
      </c>
      <c r="C23" s="4">
        <v>7698.2309999999998</v>
      </c>
      <c r="D23" s="4">
        <v>8112.8590000000004</v>
      </c>
      <c r="E23" s="5">
        <f t="shared" si="2"/>
        <v>15811.09</v>
      </c>
      <c r="F23" s="5">
        <v>0.2</v>
      </c>
      <c r="G23" s="6">
        <v>0</v>
      </c>
      <c r="H23" s="5">
        <f t="shared" si="8"/>
        <v>0</v>
      </c>
      <c r="I23" s="7">
        <v>557033.18729999999</v>
      </c>
      <c r="J23" s="7">
        <f t="shared" si="3"/>
        <v>0</v>
      </c>
      <c r="K23" s="7">
        <f t="shared" si="4"/>
        <v>-15811.09</v>
      </c>
      <c r="L23" s="8">
        <v>117</v>
      </c>
      <c r="M23" s="5">
        <f t="shared" si="1"/>
        <v>0</v>
      </c>
      <c r="N23" s="5">
        <v>77957</v>
      </c>
      <c r="O23" s="5">
        <f t="shared" si="5"/>
        <v>0</v>
      </c>
      <c r="P23" s="7">
        <f>(L23+T23)*MAX(0, K23)</f>
        <v>0</v>
      </c>
      <c r="Q23" s="7">
        <f t="shared" si="6"/>
        <v>0</v>
      </c>
      <c r="R23" s="11">
        <f>P23-Q23</f>
        <v>0</v>
      </c>
      <c r="S23" s="11">
        <f t="shared" si="7"/>
        <v>0</v>
      </c>
      <c r="T23" s="9">
        <f>N23/1000</f>
        <v>77.956999999999994</v>
      </c>
      <c r="U23" s="14">
        <f>T23+L23</f>
        <v>194.95699999999999</v>
      </c>
      <c r="V23" s="16">
        <v>10400</v>
      </c>
    </row>
    <row r="24" spans="1:22" x14ac:dyDescent="0.25">
      <c r="A24" s="4">
        <v>20250801</v>
      </c>
      <c r="B24" s="4">
        <v>23</v>
      </c>
      <c r="C24" s="4">
        <v>7384.3159999999998</v>
      </c>
      <c r="D24" s="4">
        <v>7975.9380000000001</v>
      </c>
      <c r="E24" s="5">
        <f t="shared" si="2"/>
        <v>15360.254000000001</v>
      </c>
      <c r="F24" s="5">
        <v>0.2</v>
      </c>
      <c r="G24" s="6">
        <v>0</v>
      </c>
      <c r="H24" s="5">
        <f t="shared" si="8"/>
        <v>0</v>
      </c>
      <c r="I24" s="7">
        <v>557033.18729999999</v>
      </c>
      <c r="J24" s="7">
        <f t="shared" si="3"/>
        <v>0</v>
      </c>
      <c r="K24" s="7">
        <f t="shared" si="4"/>
        <v>-15360.254000000001</v>
      </c>
      <c r="L24" s="8">
        <v>116.94</v>
      </c>
      <c r="M24" s="5">
        <f t="shared" si="1"/>
        <v>0</v>
      </c>
      <c r="N24" s="5">
        <v>77957</v>
      </c>
      <c r="O24" s="5">
        <f t="shared" si="5"/>
        <v>0</v>
      </c>
      <c r="P24" s="7">
        <f>(L24+T24)*MAX(0, K24)</f>
        <v>0</v>
      </c>
      <c r="Q24" s="7">
        <f t="shared" si="6"/>
        <v>0</v>
      </c>
      <c r="R24" s="11">
        <f>P24-Q24</f>
        <v>0</v>
      </c>
      <c r="S24" s="11">
        <f t="shared" si="7"/>
        <v>0</v>
      </c>
      <c r="T24" s="9">
        <f>N24/1000</f>
        <v>77.956999999999994</v>
      </c>
      <c r="U24" s="14">
        <f>T24+L24</f>
        <v>194.89699999999999</v>
      </c>
      <c r="V24" s="16">
        <v>10400</v>
      </c>
    </row>
    <row r="25" spans="1:22" x14ac:dyDescent="0.25">
      <c r="A25" s="4">
        <v>20250801</v>
      </c>
      <c r="B25" s="4">
        <v>24</v>
      </c>
      <c r="C25" s="4">
        <v>6587.5320000000002</v>
      </c>
      <c r="D25" s="4">
        <v>7856.9889999999996</v>
      </c>
      <c r="E25" s="5">
        <f t="shared" si="2"/>
        <v>14444.521000000001</v>
      </c>
      <c r="F25" s="5">
        <v>0.2</v>
      </c>
      <c r="G25" s="6">
        <v>0</v>
      </c>
      <c r="H25" s="5">
        <f t="shared" si="8"/>
        <v>0</v>
      </c>
      <c r="I25" s="7">
        <v>557033.18729999999</v>
      </c>
      <c r="J25" s="7">
        <f t="shared" si="3"/>
        <v>0</v>
      </c>
      <c r="K25" s="7">
        <f t="shared" si="4"/>
        <v>-14444.521000000001</v>
      </c>
      <c r="L25" s="8">
        <v>116.92</v>
      </c>
      <c r="M25" s="5">
        <f t="shared" si="1"/>
        <v>0</v>
      </c>
      <c r="N25" s="5">
        <v>77957</v>
      </c>
      <c r="O25" s="5">
        <f t="shared" si="5"/>
        <v>0</v>
      </c>
      <c r="P25" s="7">
        <f>(L25+T25)*MAX(0, K25)</f>
        <v>0</v>
      </c>
      <c r="Q25" s="7">
        <f t="shared" si="6"/>
        <v>0</v>
      </c>
      <c r="R25" s="11">
        <f>P25-Q25</f>
        <v>0</v>
      </c>
      <c r="S25" s="11">
        <f t="shared" si="7"/>
        <v>0</v>
      </c>
      <c r="T25" s="9">
        <f>N25/1000</f>
        <v>77.956999999999994</v>
      </c>
      <c r="U25" s="14">
        <f>T25+L25</f>
        <v>194.87700000000001</v>
      </c>
      <c r="V25" s="16">
        <v>10400</v>
      </c>
    </row>
    <row r="26" spans="1:22" x14ac:dyDescent="0.25">
      <c r="A26" s="4">
        <v>20250802</v>
      </c>
      <c r="B26" s="4">
        <v>1</v>
      </c>
      <c r="C26" s="4">
        <v>5683.8379999999997</v>
      </c>
      <c r="D26" s="4">
        <v>7873.2539999999999</v>
      </c>
      <c r="E26" s="5">
        <f t="shared" si="2"/>
        <v>13557.092000000001</v>
      </c>
      <c r="F26" s="5">
        <v>0.2</v>
      </c>
      <c r="G26" s="6">
        <v>0</v>
      </c>
      <c r="H26" s="5">
        <f t="shared" si="8"/>
        <v>0</v>
      </c>
      <c r="I26" s="7">
        <v>557033.18729999999</v>
      </c>
      <c r="J26" s="7">
        <f t="shared" si="3"/>
        <v>0</v>
      </c>
      <c r="K26" s="7">
        <f t="shared" si="4"/>
        <v>-13557.092000000001</v>
      </c>
      <c r="L26" s="8">
        <v>115.5</v>
      </c>
      <c r="M26" s="5">
        <f t="shared" si="1"/>
        <v>0</v>
      </c>
      <c r="N26" s="5">
        <v>77971.285699999993</v>
      </c>
      <c r="O26" s="5">
        <f t="shared" si="5"/>
        <v>0</v>
      </c>
      <c r="P26" s="7">
        <f>(L26+T26)*MAX(0, K26)</f>
        <v>0</v>
      </c>
      <c r="Q26" s="7">
        <f t="shared" si="6"/>
        <v>0</v>
      </c>
      <c r="R26" s="11">
        <f>P26-Q26</f>
        <v>0</v>
      </c>
      <c r="S26" s="11">
        <f t="shared" si="7"/>
        <v>0</v>
      </c>
      <c r="T26" s="9">
        <f>N26/1000</f>
        <v>77.971285699999996</v>
      </c>
      <c r="U26" s="14">
        <f>T26+L26</f>
        <v>193.47128570000001</v>
      </c>
      <c r="V26" s="16">
        <v>10400</v>
      </c>
    </row>
    <row r="27" spans="1:22" x14ac:dyDescent="0.25">
      <c r="A27" s="4">
        <v>20250802</v>
      </c>
      <c r="B27" s="4">
        <v>2</v>
      </c>
      <c r="C27" s="4">
        <v>4913.0150000000003</v>
      </c>
      <c r="D27" s="4">
        <v>7836.491</v>
      </c>
      <c r="E27" s="5">
        <f t="shared" si="2"/>
        <v>12749.506000000001</v>
      </c>
      <c r="F27" s="5">
        <v>0.2</v>
      </c>
      <c r="G27" s="6">
        <v>0</v>
      </c>
      <c r="H27" s="5">
        <f t="shared" si="8"/>
        <v>0</v>
      </c>
      <c r="I27" s="7">
        <v>557033.18729999999</v>
      </c>
      <c r="J27" s="7">
        <f t="shared" si="3"/>
        <v>0</v>
      </c>
      <c r="K27" s="7">
        <f t="shared" si="4"/>
        <v>-12749.506000000001</v>
      </c>
      <c r="L27" s="8">
        <v>115.5</v>
      </c>
      <c r="M27" s="5">
        <f t="shared" si="1"/>
        <v>0</v>
      </c>
      <c r="N27" s="5">
        <v>77971.285699999993</v>
      </c>
      <c r="O27" s="5">
        <f t="shared" si="5"/>
        <v>0</v>
      </c>
      <c r="P27" s="7">
        <f>(L27+T27)*MAX(0, K27)</f>
        <v>0</v>
      </c>
      <c r="Q27" s="7">
        <f t="shared" si="6"/>
        <v>0</v>
      </c>
      <c r="R27" s="11">
        <f>P27-Q27</f>
        <v>0</v>
      </c>
      <c r="S27" s="11">
        <f t="shared" si="7"/>
        <v>0</v>
      </c>
      <c r="T27" s="9">
        <f>N27/1000</f>
        <v>77.971285699999996</v>
      </c>
      <c r="U27" s="14">
        <f>T27+L27</f>
        <v>193.47128570000001</v>
      </c>
      <c r="V27" s="16">
        <v>10400</v>
      </c>
    </row>
    <row r="28" spans="1:22" x14ac:dyDescent="0.25">
      <c r="A28" s="4">
        <v>20250802</v>
      </c>
      <c r="B28" s="4">
        <v>3</v>
      </c>
      <c r="C28" s="4">
        <v>4390.9110000000001</v>
      </c>
      <c r="D28" s="4">
        <v>7808.1419999999998</v>
      </c>
      <c r="E28" s="5">
        <f t="shared" si="2"/>
        <v>12199.053</v>
      </c>
      <c r="F28" s="5">
        <v>0.2</v>
      </c>
      <c r="G28" s="6">
        <v>0</v>
      </c>
      <c r="H28" s="5">
        <f t="shared" si="8"/>
        <v>0</v>
      </c>
      <c r="I28" s="7">
        <v>557033.18729999999</v>
      </c>
      <c r="J28" s="7">
        <f t="shared" si="3"/>
        <v>0</v>
      </c>
      <c r="K28" s="7">
        <f t="shared" si="4"/>
        <v>-12199.053</v>
      </c>
      <c r="L28" s="8">
        <v>113.48</v>
      </c>
      <c r="M28" s="5">
        <f t="shared" si="1"/>
        <v>0</v>
      </c>
      <c r="N28" s="5">
        <v>77971.285699999993</v>
      </c>
      <c r="O28" s="5">
        <f t="shared" si="5"/>
        <v>0</v>
      </c>
      <c r="P28" s="7">
        <f>(L28+T28)*MAX(0, K28)</f>
        <v>0</v>
      </c>
      <c r="Q28" s="7">
        <f t="shared" si="6"/>
        <v>0</v>
      </c>
      <c r="R28" s="11">
        <f>P28-Q28</f>
        <v>0</v>
      </c>
      <c r="S28" s="11">
        <f t="shared" si="7"/>
        <v>0</v>
      </c>
      <c r="T28" s="9">
        <f>N28/1000</f>
        <v>77.971285699999996</v>
      </c>
      <c r="U28" s="14">
        <f>T28+L28</f>
        <v>191.4512857</v>
      </c>
      <c r="V28" s="16">
        <v>10400</v>
      </c>
    </row>
    <row r="29" spans="1:22" x14ac:dyDescent="0.25">
      <c r="A29" s="4">
        <v>20250802</v>
      </c>
      <c r="B29" s="4">
        <v>4</v>
      </c>
      <c r="C29" s="4">
        <v>4088.3890000000001</v>
      </c>
      <c r="D29" s="4">
        <v>7793.2969999999996</v>
      </c>
      <c r="E29" s="5">
        <f t="shared" si="2"/>
        <v>11881.686</v>
      </c>
      <c r="F29" s="5">
        <v>0.2</v>
      </c>
      <c r="G29" s="6">
        <v>0</v>
      </c>
      <c r="H29" s="5">
        <f t="shared" si="8"/>
        <v>0</v>
      </c>
      <c r="I29" s="7">
        <v>557033.18729999999</v>
      </c>
      <c r="J29" s="7">
        <f t="shared" si="3"/>
        <v>0</v>
      </c>
      <c r="K29" s="7">
        <f t="shared" si="4"/>
        <v>-11881.686</v>
      </c>
      <c r="L29" s="8">
        <v>111.64</v>
      </c>
      <c r="M29" s="5">
        <f t="shared" si="1"/>
        <v>0</v>
      </c>
      <c r="N29" s="5">
        <v>77971.285699999993</v>
      </c>
      <c r="O29" s="5">
        <f t="shared" si="5"/>
        <v>0</v>
      </c>
      <c r="P29" s="7">
        <f>(L29+T29)*MAX(0, K29)</f>
        <v>0</v>
      </c>
      <c r="Q29" s="7">
        <f t="shared" si="6"/>
        <v>0</v>
      </c>
      <c r="R29" s="11">
        <f>P29-Q29</f>
        <v>0</v>
      </c>
      <c r="S29" s="11">
        <f t="shared" si="7"/>
        <v>0</v>
      </c>
      <c r="T29" s="9">
        <f>N29/1000</f>
        <v>77.971285699999996</v>
      </c>
      <c r="U29" s="14">
        <f>T29+L29</f>
        <v>189.6112857</v>
      </c>
      <c r="V29" s="16">
        <v>10400</v>
      </c>
    </row>
    <row r="30" spans="1:22" x14ac:dyDescent="0.25">
      <c r="A30" s="4">
        <v>20250802</v>
      </c>
      <c r="B30" s="4">
        <v>5</v>
      </c>
      <c r="C30" s="4">
        <v>3885.6089999999999</v>
      </c>
      <c r="D30" s="4">
        <v>7721.9210000000003</v>
      </c>
      <c r="E30" s="5">
        <f t="shared" si="2"/>
        <v>11607.53</v>
      </c>
      <c r="F30" s="5">
        <v>0.2</v>
      </c>
      <c r="G30" s="6">
        <v>0</v>
      </c>
      <c r="H30" s="5">
        <f t="shared" si="8"/>
        <v>0</v>
      </c>
      <c r="I30" s="7">
        <v>557033.18729999999</v>
      </c>
      <c r="J30" s="7">
        <f t="shared" si="3"/>
        <v>0</v>
      </c>
      <c r="K30" s="7">
        <f t="shared" si="4"/>
        <v>-11607.53</v>
      </c>
      <c r="L30" s="8">
        <v>111.64</v>
      </c>
      <c r="M30" s="5">
        <f t="shared" si="1"/>
        <v>0</v>
      </c>
      <c r="N30" s="5">
        <v>77971.285699999993</v>
      </c>
      <c r="O30" s="5">
        <f t="shared" si="5"/>
        <v>0</v>
      </c>
      <c r="P30" s="7">
        <f>(L30+T30)*MAX(0, K30)</f>
        <v>0</v>
      </c>
      <c r="Q30" s="7">
        <f t="shared" si="6"/>
        <v>0</v>
      </c>
      <c r="R30" s="11">
        <f>P30-Q30</f>
        <v>0</v>
      </c>
      <c r="S30" s="11">
        <f t="shared" si="7"/>
        <v>0</v>
      </c>
      <c r="T30" s="9">
        <f>N30/1000</f>
        <v>77.971285699999996</v>
      </c>
      <c r="U30" s="14">
        <f>T30+L30</f>
        <v>189.6112857</v>
      </c>
      <c r="V30" s="16">
        <v>10400</v>
      </c>
    </row>
    <row r="31" spans="1:22" x14ac:dyDescent="0.25">
      <c r="A31" s="4">
        <v>20250802</v>
      </c>
      <c r="B31" s="4">
        <v>6</v>
      </c>
      <c r="C31" s="4">
        <v>3792.393</v>
      </c>
      <c r="D31" s="4">
        <v>7745.0550000000003</v>
      </c>
      <c r="E31" s="5">
        <f t="shared" si="2"/>
        <v>11537.448</v>
      </c>
      <c r="F31" s="5">
        <v>0.2</v>
      </c>
      <c r="G31" s="6">
        <v>0</v>
      </c>
      <c r="H31" s="5">
        <f t="shared" si="8"/>
        <v>0</v>
      </c>
      <c r="I31" s="7">
        <v>557033.18729999999</v>
      </c>
      <c r="J31" s="7">
        <f t="shared" si="3"/>
        <v>0</v>
      </c>
      <c r="K31" s="7">
        <f t="shared" si="4"/>
        <v>-11537.448</v>
      </c>
      <c r="L31" s="8">
        <v>111.64</v>
      </c>
      <c r="M31" s="5">
        <f t="shared" si="1"/>
        <v>0</v>
      </c>
      <c r="N31" s="5">
        <v>77971.285699999993</v>
      </c>
      <c r="O31" s="5">
        <f t="shared" si="5"/>
        <v>0</v>
      </c>
      <c r="P31" s="7">
        <f>(L31+T31)*MAX(0, K31)</f>
        <v>0</v>
      </c>
      <c r="Q31" s="7">
        <f t="shared" si="6"/>
        <v>0</v>
      </c>
      <c r="R31" s="11">
        <f>P31-Q31</f>
        <v>0</v>
      </c>
      <c r="S31" s="11">
        <f t="shared" si="7"/>
        <v>0</v>
      </c>
      <c r="T31" s="9">
        <f>N31/1000</f>
        <v>77.971285699999996</v>
      </c>
      <c r="U31" s="14">
        <f>T31+L31</f>
        <v>189.6112857</v>
      </c>
      <c r="V31" s="16">
        <v>10400</v>
      </c>
    </row>
    <row r="32" spans="1:22" x14ac:dyDescent="0.25">
      <c r="A32" s="4">
        <v>20250802</v>
      </c>
      <c r="B32" s="4">
        <v>7</v>
      </c>
      <c r="C32" s="4">
        <v>3909.6120000000001</v>
      </c>
      <c r="D32" s="4">
        <v>7833.15</v>
      </c>
      <c r="E32" s="5">
        <f t="shared" si="2"/>
        <v>11742.761999999999</v>
      </c>
      <c r="F32" s="5">
        <v>0.2</v>
      </c>
      <c r="G32" s="6">
        <v>0</v>
      </c>
      <c r="H32" s="5">
        <f t="shared" si="8"/>
        <v>0</v>
      </c>
      <c r="I32" s="7">
        <v>557033.18729999999</v>
      </c>
      <c r="J32" s="7">
        <f t="shared" si="3"/>
        <v>0</v>
      </c>
      <c r="K32" s="7">
        <f t="shared" si="4"/>
        <v>-11742.761999999999</v>
      </c>
      <c r="L32" s="8">
        <v>113.48</v>
      </c>
      <c r="M32" s="5">
        <f t="shared" si="1"/>
        <v>0</v>
      </c>
      <c r="N32" s="5">
        <v>77971.285699999993</v>
      </c>
      <c r="O32" s="5">
        <f t="shared" si="5"/>
        <v>0</v>
      </c>
      <c r="P32" s="7">
        <f>(L32+T32)*MAX(0, K32)</f>
        <v>0</v>
      </c>
      <c r="Q32" s="7">
        <f t="shared" si="6"/>
        <v>0</v>
      </c>
      <c r="R32" s="11">
        <f>P32-Q32</f>
        <v>0</v>
      </c>
      <c r="S32" s="11">
        <f t="shared" si="7"/>
        <v>0</v>
      </c>
      <c r="T32" s="9">
        <f>N32/1000</f>
        <v>77.971285699999996</v>
      </c>
      <c r="U32" s="14">
        <f>T32+L32</f>
        <v>191.4512857</v>
      </c>
      <c r="V32" s="16">
        <v>10400</v>
      </c>
    </row>
    <row r="33" spans="1:22" x14ac:dyDescent="0.25">
      <c r="A33" s="4">
        <v>20250802</v>
      </c>
      <c r="B33" s="4">
        <v>8</v>
      </c>
      <c r="C33" s="4">
        <v>4518.9369999999999</v>
      </c>
      <c r="D33" s="4">
        <v>8024.7420000000002</v>
      </c>
      <c r="E33" s="5">
        <f t="shared" si="2"/>
        <v>12543.679</v>
      </c>
      <c r="F33" s="5">
        <v>0.2</v>
      </c>
      <c r="G33" s="6">
        <v>0.11</v>
      </c>
      <c r="H33" s="5">
        <f t="shared" si="8"/>
        <v>3.0555555555555555E-2</v>
      </c>
      <c r="I33" s="7">
        <v>557033.18729999999</v>
      </c>
      <c r="J33" s="7">
        <f t="shared" si="3"/>
        <v>3404.0917001666667</v>
      </c>
      <c r="K33" s="7">
        <f t="shared" si="4"/>
        <v>-9139.5872998333325</v>
      </c>
      <c r="L33" s="8">
        <v>115.32</v>
      </c>
      <c r="M33" s="5">
        <f t="shared" si="1"/>
        <v>3.4040917001666666</v>
      </c>
      <c r="N33" s="5">
        <v>77971.285699999993</v>
      </c>
      <c r="O33" s="5">
        <f t="shared" si="5"/>
        <v>265421.40650269389</v>
      </c>
      <c r="P33" s="7">
        <f>(L33+T33)*MAX(0, K33)</f>
        <v>0</v>
      </c>
      <c r="Q33" s="7">
        <f t="shared" si="6"/>
        <v>0</v>
      </c>
      <c r="R33" s="11">
        <f>P33-Q33</f>
        <v>0</v>
      </c>
      <c r="S33" s="11">
        <f t="shared" si="7"/>
        <v>77.971285699999996</v>
      </c>
      <c r="T33" s="9">
        <f>N33/1000</f>
        <v>77.971285699999996</v>
      </c>
      <c r="U33" s="14">
        <f>T33+L33</f>
        <v>193.2912857</v>
      </c>
      <c r="V33" s="16">
        <v>10400</v>
      </c>
    </row>
    <row r="34" spans="1:22" x14ac:dyDescent="0.25">
      <c r="A34" s="4">
        <v>20250802</v>
      </c>
      <c r="B34" s="4">
        <v>9</v>
      </c>
      <c r="C34" s="4">
        <v>5519.3040000000001</v>
      </c>
      <c r="D34" s="4">
        <v>8381.4609999999993</v>
      </c>
      <c r="E34" s="5">
        <f t="shared" si="2"/>
        <v>13900.764999999999</v>
      </c>
      <c r="F34" s="5">
        <v>0.2</v>
      </c>
      <c r="G34" s="6">
        <v>0.37</v>
      </c>
      <c r="H34" s="5">
        <f t="shared" si="8"/>
        <v>0.10277777777777777</v>
      </c>
      <c r="I34" s="7">
        <v>557033.18729999999</v>
      </c>
      <c r="J34" s="7">
        <f t="shared" si="3"/>
        <v>11450.126627833333</v>
      </c>
      <c r="K34" s="7">
        <f t="shared" si="4"/>
        <v>-2450.6383721666662</v>
      </c>
      <c r="L34" s="8">
        <v>116.29</v>
      </c>
      <c r="M34" s="5">
        <f t="shared" ref="M34:M65" si="9" xml:space="preserve"> J34/1000</f>
        <v>11.450126627833333</v>
      </c>
      <c r="N34" s="5">
        <v>77971.285699999993</v>
      </c>
      <c r="O34" s="5">
        <f t="shared" si="5"/>
        <v>892781.09459997027</v>
      </c>
      <c r="P34" s="7">
        <f>(L34+T34)*MAX(0, K34)</f>
        <v>0</v>
      </c>
      <c r="Q34" s="7">
        <f t="shared" si="6"/>
        <v>0</v>
      </c>
      <c r="R34" s="11">
        <f>P34-Q34</f>
        <v>0</v>
      </c>
      <c r="S34" s="11">
        <f t="shared" si="7"/>
        <v>77.971285699999981</v>
      </c>
      <c r="T34" s="9">
        <f>N34/1000</f>
        <v>77.971285699999996</v>
      </c>
      <c r="U34" s="14">
        <f>T34+L34</f>
        <v>194.2612857</v>
      </c>
      <c r="V34" s="16">
        <v>10400</v>
      </c>
    </row>
    <row r="35" spans="1:22" x14ac:dyDescent="0.25">
      <c r="A35" s="4">
        <v>20250802</v>
      </c>
      <c r="B35" s="4">
        <v>10</v>
      </c>
      <c r="C35" s="4">
        <v>6493.1970000000001</v>
      </c>
      <c r="D35" s="4">
        <v>8600.3989999999994</v>
      </c>
      <c r="E35" s="5">
        <f t="shared" si="2"/>
        <v>15093.596</v>
      </c>
      <c r="F35" s="5">
        <v>0.2</v>
      </c>
      <c r="G35" s="6">
        <v>0.42</v>
      </c>
      <c r="H35" s="5">
        <f t="shared" si="8"/>
        <v>0.11666666666666665</v>
      </c>
      <c r="I35" s="7">
        <v>557033.18729999999</v>
      </c>
      <c r="J35" s="7">
        <f t="shared" si="3"/>
        <v>12997.441036999999</v>
      </c>
      <c r="K35" s="7">
        <f t="shared" si="4"/>
        <v>-2096.1549630000009</v>
      </c>
      <c r="L35" s="8">
        <v>116.93</v>
      </c>
      <c r="M35" s="5">
        <f t="shared" si="9"/>
        <v>12.997441036999998</v>
      </c>
      <c r="N35" s="5">
        <v>77971.285699999993</v>
      </c>
      <c r="O35" s="5">
        <f t="shared" si="5"/>
        <v>1013427.188464831</v>
      </c>
      <c r="P35" s="7">
        <f>(L35+T35)*MAX(0, K35)</f>
        <v>0</v>
      </c>
      <c r="Q35" s="7">
        <f t="shared" si="6"/>
        <v>0</v>
      </c>
      <c r="R35" s="11">
        <f>P35-Q35</f>
        <v>0</v>
      </c>
      <c r="S35" s="11">
        <f t="shared" si="7"/>
        <v>77.971285699999981</v>
      </c>
      <c r="T35" s="9">
        <f>N35/1000</f>
        <v>77.971285699999996</v>
      </c>
      <c r="U35" s="14">
        <f>T35+L35</f>
        <v>194.90128570000002</v>
      </c>
      <c r="V35" s="16">
        <v>10400</v>
      </c>
    </row>
    <row r="36" spans="1:22" x14ac:dyDescent="0.25">
      <c r="A36" s="4">
        <v>20250802</v>
      </c>
      <c r="B36" s="4">
        <v>11</v>
      </c>
      <c r="C36" s="4">
        <v>6704.91</v>
      </c>
      <c r="D36" s="4">
        <v>8742.4269999999997</v>
      </c>
      <c r="E36" s="5">
        <f t="shared" si="2"/>
        <v>15447.337</v>
      </c>
      <c r="F36" s="5">
        <v>0.2</v>
      </c>
      <c r="G36" s="6">
        <v>0.73999999999999988</v>
      </c>
      <c r="H36" s="5">
        <f t="shared" si="8"/>
        <v>0.20555555555555552</v>
      </c>
      <c r="I36" s="7">
        <v>557033.18729999999</v>
      </c>
      <c r="J36" s="7">
        <f t="shared" si="3"/>
        <v>22900.253255666663</v>
      </c>
      <c r="K36" s="7">
        <f t="shared" si="4"/>
        <v>7452.9162556666633</v>
      </c>
      <c r="L36" s="8">
        <v>122.45</v>
      </c>
      <c r="M36" s="5">
        <f t="shared" si="9"/>
        <v>22.900253255666662</v>
      </c>
      <c r="N36" s="5">
        <v>77971.285699999993</v>
      </c>
      <c r="O36" s="5">
        <f t="shared" si="5"/>
        <v>1785562.1891999403</v>
      </c>
      <c r="P36" s="7">
        <f>(L36+T36)*MAX(0, K36)</f>
        <v>1493723.0581751426</v>
      </c>
      <c r="Q36" s="7">
        <f t="shared" si="6"/>
        <v>912609.59550638299</v>
      </c>
      <c r="R36" s="11">
        <f>P36-Q36</f>
        <v>581113.46266875963</v>
      </c>
      <c r="S36" s="11">
        <f t="shared" si="7"/>
        <v>77.971285699999996</v>
      </c>
      <c r="T36" s="9">
        <f>N36/1000</f>
        <v>77.971285699999996</v>
      </c>
      <c r="U36" s="14">
        <f>T36+L36</f>
        <v>200.4212857</v>
      </c>
      <c r="V36" s="16">
        <v>10400</v>
      </c>
    </row>
    <row r="37" spans="1:22" x14ac:dyDescent="0.25">
      <c r="A37" s="4">
        <v>20250802</v>
      </c>
      <c r="B37" s="4">
        <v>12</v>
      </c>
      <c r="C37" s="4">
        <v>6843.4129999999996</v>
      </c>
      <c r="D37" s="4">
        <v>8883.0319999999992</v>
      </c>
      <c r="E37" s="5">
        <f t="shared" si="2"/>
        <v>15726.445</v>
      </c>
      <c r="F37" s="5">
        <v>0.2</v>
      </c>
      <c r="G37" s="6">
        <v>1</v>
      </c>
      <c r="H37" s="5">
        <f t="shared" si="8"/>
        <v>0.27777777777777779</v>
      </c>
      <c r="I37" s="7">
        <v>557033.18729999999</v>
      </c>
      <c r="J37" s="7">
        <f t="shared" si="3"/>
        <v>30946.288183333334</v>
      </c>
      <c r="K37" s="7">
        <f t="shared" si="4"/>
        <v>15219.843183333334</v>
      </c>
      <c r="L37" s="8">
        <v>122.55</v>
      </c>
      <c r="M37" s="5">
        <f t="shared" si="9"/>
        <v>30.946288183333333</v>
      </c>
      <c r="N37" s="5">
        <v>77971.285699999993</v>
      </c>
      <c r="O37" s="5">
        <f t="shared" si="5"/>
        <v>2412921.877297217</v>
      </c>
      <c r="P37" s="7">
        <f>(L37+T37)*MAX(0, K37)</f>
        <v>3051902.5232743807</v>
      </c>
      <c r="Q37" s="7">
        <f t="shared" si="6"/>
        <v>1865191.7821175</v>
      </c>
      <c r="R37" s="11">
        <f>P37-Q37</f>
        <v>1186710.7411568807</v>
      </c>
      <c r="S37" s="11">
        <f t="shared" si="7"/>
        <v>77.971285699999996</v>
      </c>
      <c r="T37" s="9">
        <f>N37/1000</f>
        <v>77.971285699999996</v>
      </c>
      <c r="U37" s="14">
        <f>T37+L37</f>
        <v>200.52128569999999</v>
      </c>
      <c r="V37" s="16">
        <v>10400</v>
      </c>
    </row>
    <row r="38" spans="1:22" x14ac:dyDescent="0.25">
      <c r="A38" s="4">
        <v>20250802</v>
      </c>
      <c r="B38" s="4">
        <v>13</v>
      </c>
      <c r="C38" s="4">
        <v>6918.982</v>
      </c>
      <c r="D38" s="4">
        <v>8882.4740000000002</v>
      </c>
      <c r="E38" s="5">
        <f t="shared" si="2"/>
        <v>15801.456</v>
      </c>
      <c r="F38" s="5">
        <v>0.2</v>
      </c>
      <c r="G38" s="6">
        <v>0.94999999999999973</v>
      </c>
      <c r="H38" s="5">
        <f t="shared" si="8"/>
        <v>0.26388888888888878</v>
      </c>
      <c r="I38" s="7">
        <v>557033.18729999999</v>
      </c>
      <c r="J38" s="7">
        <f t="shared" si="3"/>
        <v>29398.973774166654</v>
      </c>
      <c r="K38" s="7">
        <f t="shared" si="4"/>
        <v>13597.517774166654</v>
      </c>
      <c r="L38" s="8">
        <v>123.5</v>
      </c>
      <c r="M38" s="5">
        <f t="shared" si="9"/>
        <v>29.398973774166652</v>
      </c>
      <c r="N38" s="5">
        <v>77971.285699999993</v>
      </c>
      <c r="O38" s="5">
        <f t="shared" si="5"/>
        <v>2292275.7834323552</v>
      </c>
      <c r="P38" s="7">
        <f>(L38+T38)*MAX(0, K38)</f>
        <v>2739509.3882899582</v>
      </c>
      <c r="Q38" s="7">
        <f t="shared" si="6"/>
        <v>1679293.4451095818</v>
      </c>
      <c r="R38" s="11">
        <f>P38-Q38</f>
        <v>1060215.9431803764</v>
      </c>
      <c r="S38" s="11">
        <f t="shared" si="7"/>
        <v>77.971285699999996</v>
      </c>
      <c r="T38" s="9">
        <f>N38/1000</f>
        <v>77.971285699999996</v>
      </c>
      <c r="U38" s="14">
        <f>T38+L38</f>
        <v>201.47128570000001</v>
      </c>
      <c r="V38" s="16">
        <v>10400</v>
      </c>
    </row>
    <row r="39" spans="1:22" x14ac:dyDescent="0.25">
      <c r="A39" s="4">
        <v>20250802</v>
      </c>
      <c r="B39" s="4">
        <v>14</v>
      </c>
      <c r="C39" s="4">
        <v>6912.2030000000004</v>
      </c>
      <c r="D39" s="4">
        <v>8911.9169999999995</v>
      </c>
      <c r="E39" s="5">
        <f t="shared" si="2"/>
        <v>15824.119999999999</v>
      </c>
      <c r="F39" s="5">
        <v>0.2</v>
      </c>
      <c r="G39" s="6">
        <v>1.88</v>
      </c>
      <c r="H39" s="5">
        <f t="shared" si="8"/>
        <v>0.52222222222222214</v>
      </c>
      <c r="I39" s="7">
        <v>557033.18729999999</v>
      </c>
      <c r="J39" s="7">
        <f t="shared" si="3"/>
        <v>58179.021784666656</v>
      </c>
      <c r="K39" s="7">
        <f t="shared" si="4"/>
        <v>42354.901784666654</v>
      </c>
      <c r="L39" s="8">
        <v>123.5</v>
      </c>
      <c r="M39" s="5">
        <f t="shared" si="9"/>
        <v>58.179021784666659</v>
      </c>
      <c r="N39" s="5">
        <v>77971.285699999993</v>
      </c>
      <c r="O39" s="5">
        <f t="shared" si="5"/>
        <v>4536293.1293187672</v>
      </c>
      <c r="P39" s="7">
        <f>(L39+T39)*MAX(0, K39)</f>
        <v>8533296.5182540156</v>
      </c>
      <c r="Q39" s="7">
        <f t="shared" si="6"/>
        <v>5230830.3704063315</v>
      </c>
      <c r="R39" s="11">
        <f>P39-Q39</f>
        <v>3302466.1478476841</v>
      </c>
      <c r="S39" s="11">
        <f t="shared" si="7"/>
        <v>77.971285699999996</v>
      </c>
      <c r="T39" s="9">
        <f>N39/1000</f>
        <v>77.971285699999996</v>
      </c>
      <c r="U39" s="14">
        <f>T39+L39</f>
        <v>201.47128570000001</v>
      </c>
      <c r="V39" s="16">
        <v>10400</v>
      </c>
    </row>
    <row r="40" spans="1:22" x14ac:dyDescent="0.25">
      <c r="A40" s="4">
        <v>20250802</v>
      </c>
      <c r="B40" s="4">
        <v>15</v>
      </c>
      <c r="C40" s="4">
        <v>6987.3810000000003</v>
      </c>
      <c r="D40" s="4">
        <v>8979.8629999999994</v>
      </c>
      <c r="E40" s="5">
        <f t="shared" si="2"/>
        <v>15967.243999999999</v>
      </c>
      <c r="F40" s="5">
        <v>0.2</v>
      </c>
      <c r="G40" s="6">
        <v>3.19</v>
      </c>
      <c r="H40" s="5">
        <f t="shared" si="8"/>
        <v>0.88611111111111107</v>
      </c>
      <c r="I40" s="7">
        <v>557033.18729999999</v>
      </c>
      <c r="J40" s="7">
        <f t="shared" si="3"/>
        <v>98718.659304833331</v>
      </c>
      <c r="K40" s="7">
        <f t="shared" si="4"/>
        <v>82751.415304833325</v>
      </c>
      <c r="L40" s="8">
        <v>123.41</v>
      </c>
      <c r="M40" s="5">
        <f t="shared" si="9"/>
        <v>98.718659304833324</v>
      </c>
      <c r="N40" s="5">
        <v>77971.285699999993</v>
      </c>
      <c r="O40" s="5">
        <f t="shared" si="5"/>
        <v>7697220.7885781219</v>
      </c>
      <c r="P40" s="7">
        <f>(L40+T40)*MAX(0, K40)</f>
        <v>16664586.407581991</v>
      </c>
      <c r="Q40" s="7">
        <f t="shared" si="6"/>
        <v>10212352.16276948</v>
      </c>
      <c r="R40" s="11">
        <f>P40-Q40</f>
        <v>6452234.2448125109</v>
      </c>
      <c r="S40" s="11">
        <f t="shared" si="7"/>
        <v>77.971285699999996</v>
      </c>
      <c r="T40" s="9">
        <f>N40/1000</f>
        <v>77.971285699999996</v>
      </c>
      <c r="U40" s="14">
        <f>T40+L40</f>
        <v>201.38128569999998</v>
      </c>
      <c r="V40" s="16">
        <v>10400</v>
      </c>
    </row>
    <row r="41" spans="1:22" x14ac:dyDescent="0.25">
      <c r="A41" s="4">
        <v>20250802</v>
      </c>
      <c r="B41" s="4">
        <v>16</v>
      </c>
      <c r="C41" s="4">
        <v>7068.3649999999998</v>
      </c>
      <c r="D41" s="4">
        <v>8956.0679999999993</v>
      </c>
      <c r="E41" s="5">
        <f t="shared" si="2"/>
        <v>16024.432999999999</v>
      </c>
      <c r="F41" s="5">
        <v>0.2</v>
      </c>
      <c r="G41" s="6">
        <v>2.9599999999999991</v>
      </c>
      <c r="H41" s="5">
        <f t="shared" si="8"/>
        <v>0.82222222222222197</v>
      </c>
      <c r="I41" s="7">
        <v>557033.18729999999</v>
      </c>
      <c r="J41" s="7">
        <f t="shared" si="3"/>
        <v>91601.013022666637</v>
      </c>
      <c r="K41" s="7">
        <f t="shared" si="4"/>
        <v>75576.580022666632</v>
      </c>
      <c r="L41" s="8">
        <v>122.41</v>
      </c>
      <c r="M41" s="5">
        <f t="shared" si="9"/>
        <v>91.601013022666635</v>
      </c>
      <c r="N41" s="5">
        <v>77971.285699999993</v>
      </c>
      <c r="O41" s="5">
        <f t="shared" si="5"/>
        <v>7142248.7567997603</v>
      </c>
      <c r="P41" s="7">
        <f>(L41+T41)*MAX(0, K41)</f>
        <v>15144132.273750873</v>
      </c>
      <c r="Q41" s="7">
        <f t="shared" si="6"/>
        <v>9251329.1605746225</v>
      </c>
      <c r="R41" s="11">
        <f>P41-Q41</f>
        <v>5892803.1131762508</v>
      </c>
      <c r="S41" s="11">
        <f t="shared" si="7"/>
        <v>77.971285699999996</v>
      </c>
      <c r="T41" s="9">
        <f>N41/1000</f>
        <v>77.971285699999996</v>
      </c>
      <c r="U41" s="14">
        <f>T41+L41</f>
        <v>200.38128569999998</v>
      </c>
      <c r="V41" s="16">
        <v>10400</v>
      </c>
    </row>
    <row r="42" spans="1:22" x14ac:dyDescent="0.25">
      <c r="A42" s="4">
        <v>20250802</v>
      </c>
      <c r="B42" s="4">
        <v>17</v>
      </c>
      <c r="C42" s="4">
        <v>7057.1170000000002</v>
      </c>
      <c r="D42" s="4">
        <v>8737.8279999999995</v>
      </c>
      <c r="E42" s="5">
        <f t="shared" si="2"/>
        <v>15794.945</v>
      </c>
      <c r="F42" s="5">
        <v>0.2</v>
      </c>
      <c r="G42" s="6">
        <v>2.41</v>
      </c>
      <c r="H42" s="5">
        <f t="shared" si="8"/>
        <v>0.66944444444444451</v>
      </c>
      <c r="I42" s="7">
        <v>557033.18729999999</v>
      </c>
      <c r="J42" s="7">
        <f t="shared" si="3"/>
        <v>74580.554521833343</v>
      </c>
      <c r="K42" s="7">
        <f t="shared" si="4"/>
        <v>58785.609521833343</v>
      </c>
      <c r="L42" s="8">
        <v>118.12</v>
      </c>
      <c r="M42" s="5">
        <f t="shared" si="9"/>
        <v>74.580554521833349</v>
      </c>
      <c r="N42" s="5">
        <v>77971.285699999993</v>
      </c>
      <c r="O42" s="5">
        <f t="shared" si="5"/>
        <v>5815141.7242862945</v>
      </c>
      <c r="P42" s="7">
        <f>(L42+T42)*MAX(0, K42)</f>
        <v>11527345.751794463</v>
      </c>
      <c r="Q42" s="7">
        <f t="shared" si="6"/>
        <v>6943756.1967189545</v>
      </c>
      <c r="R42" s="11">
        <f>P42-Q42</f>
        <v>4583589.5550755085</v>
      </c>
      <c r="S42" s="11">
        <f t="shared" si="7"/>
        <v>77.971285699999996</v>
      </c>
      <c r="T42" s="9">
        <f>N42/1000</f>
        <v>77.971285699999996</v>
      </c>
      <c r="U42" s="14">
        <f>T42+L42</f>
        <v>196.09128570000001</v>
      </c>
      <c r="V42" s="16">
        <v>10400</v>
      </c>
    </row>
    <row r="43" spans="1:22" x14ac:dyDescent="0.25">
      <c r="A43" s="4">
        <v>20250802</v>
      </c>
      <c r="B43" s="4">
        <v>18</v>
      </c>
      <c r="C43" s="4">
        <v>7193.65</v>
      </c>
      <c r="D43" s="4">
        <v>8513.3130000000001</v>
      </c>
      <c r="E43" s="5">
        <f t="shared" si="2"/>
        <v>15706.963</v>
      </c>
      <c r="F43" s="5">
        <v>0.2</v>
      </c>
      <c r="G43" s="6">
        <v>1.880000000000001</v>
      </c>
      <c r="H43" s="5">
        <f t="shared" si="8"/>
        <v>0.52222222222222248</v>
      </c>
      <c r="I43" s="7">
        <v>557033.18729999999</v>
      </c>
      <c r="J43" s="7">
        <f t="shared" si="3"/>
        <v>58179.021784666693</v>
      </c>
      <c r="K43" s="7">
        <f t="shared" si="4"/>
        <v>42472.058784666689</v>
      </c>
      <c r="L43" s="8">
        <v>118.29</v>
      </c>
      <c r="M43" s="5">
        <f t="shared" si="9"/>
        <v>58.179021784666695</v>
      </c>
      <c r="N43" s="5">
        <v>77971.285699999993</v>
      </c>
      <c r="O43" s="5">
        <f t="shared" si="5"/>
        <v>4536293.12931877</v>
      </c>
      <c r="P43" s="7">
        <f>(L43+T43)*MAX(0, K43)</f>
        <v>8335620.8634046642</v>
      </c>
      <c r="Q43" s="7">
        <f t="shared" si="6"/>
        <v>5024019.8336382229</v>
      </c>
      <c r="R43" s="11">
        <f>P43-Q43</f>
        <v>3311601.0297664413</v>
      </c>
      <c r="S43" s="11">
        <f t="shared" si="7"/>
        <v>77.971285699999996</v>
      </c>
      <c r="T43" s="9">
        <f>N43/1000</f>
        <v>77.971285699999996</v>
      </c>
      <c r="U43" s="14">
        <f>T43+L43</f>
        <v>196.2612857</v>
      </c>
      <c r="V43" s="16">
        <v>10400</v>
      </c>
    </row>
    <row r="44" spans="1:22" x14ac:dyDescent="0.25">
      <c r="A44" s="4">
        <v>20250802</v>
      </c>
      <c r="B44" s="4">
        <v>19</v>
      </c>
      <c r="C44" s="4">
        <v>7365.0029999999997</v>
      </c>
      <c r="D44" s="4">
        <v>8286.8250000000007</v>
      </c>
      <c r="E44" s="5">
        <f t="shared" si="2"/>
        <v>15651.828000000001</v>
      </c>
      <c r="F44" s="5">
        <v>0.2</v>
      </c>
      <c r="G44" s="6">
        <v>1.25</v>
      </c>
      <c r="H44" s="5">
        <f t="shared" si="8"/>
        <v>0.34722222222222221</v>
      </c>
      <c r="I44" s="7">
        <v>557033.18729999999</v>
      </c>
      <c r="J44" s="7">
        <f t="shared" si="3"/>
        <v>38682.860229166661</v>
      </c>
      <c r="K44" s="7">
        <f t="shared" si="4"/>
        <v>23031.03222916666</v>
      </c>
      <c r="L44" s="8">
        <v>122.11</v>
      </c>
      <c r="M44" s="5">
        <f t="shared" si="9"/>
        <v>38.682860229166664</v>
      </c>
      <c r="N44" s="5">
        <v>77971.285699999993</v>
      </c>
      <c r="O44" s="5">
        <f t="shared" si="5"/>
        <v>3016152.3466215213</v>
      </c>
      <c r="P44" s="7">
        <f>(L44+T44)*MAX(0, K44)</f>
        <v>4608078.5394098023</v>
      </c>
      <c r="Q44" s="7">
        <f t="shared" si="6"/>
        <v>2812319.3455035407</v>
      </c>
      <c r="R44" s="11">
        <f>P44-Q44</f>
        <v>1795759.1939062616</v>
      </c>
      <c r="S44" s="11">
        <f t="shared" si="7"/>
        <v>77.971285699999996</v>
      </c>
      <c r="T44" s="9">
        <f>N44/1000</f>
        <v>77.971285699999996</v>
      </c>
      <c r="U44" s="14">
        <f>T44+L44</f>
        <v>200.0812857</v>
      </c>
      <c r="V44" s="16">
        <v>10400</v>
      </c>
    </row>
    <row r="45" spans="1:22" x14ac:dyDescent="0.25">
      <c r="A45" s="4">
        <v>20250802</v>
      </c>
      <c r="B45" s="4">
        <v>20</v>
      </c>
      <c r="C45" s="4">
        <v>7428.9709999999995</v>
      </c>
      <c r="D45" s="4">
        <v>8131.1890000000003</v>
      </c>
      <c r="E45" s="5">
        <f t="shared" si="2"/>
        <v>15560.16</v>
      </c>
      <c r="F45" s="5">
        <v>0.2</v>
      </c>
      <c r="G45" s="6">
        <v>0.46000000000000091</v>
      </c>
      <c r="H45" s="5">
        <f t="shared" si="8"/>
        <v>0.12777777777777802</v>
      </c>
      <c r="I45" s="7">
        <v>557033.18729999999</v>
      </c>
      <c r="J45" s="7">
        <f t="shared" si="3"/>
        <v>14235.29256433336</v>
      </c>
      <c r="K45" s="7">
        <f t="shared" si="4"/>
        <v>-1324.8674356666397</v>
      </c>
      <c r="L45" s="8">
        <v>147.41</v>
      </c>
      <c r="M45" s="5">
        <f t="shared" si="9"/>
        <v>14.23529256433336</v>
      </c>
      <c r="N45" s="5">
        <v>77971.285699999993</v>
      </c>
      <c r="O45" s="5">
        <f t="shared" si="5"/>
        <v>1109944.0635567219</v>
      </c>
      <c r="P45" s="7">
        <f>(L45+T45)*MAX(0, K45)</f>
        <v>0</v>
      </c>
      <c r="Q45" s="7">
        <f t="shared" si="6"/>
        <v>0</v>
      </c>
      <c r="R45" s="11">
        <f>P45-Q45</f>
        <v>0</v>
      </c>
      <c r="S45" s="11">
        <f t="shared" si="7"/>
        <v>77.971285699999996</v>
      </c>
      <c r="T45" s="9">
        <f>N45/1000</f>
        <v>77.971285699999996</v>
      </c>
      <c r="U45" s="14">
        <f>T45+L45</f>
        <v>225.38128569999998</v>
      </c>
      <c r="V45" s="16">
        <v>10400</v>
      </c>
    </row>
    <row r="46" spans="1:22" x14ac:dyDescent="0.25">
      <c r="A46" s="4">
        <v>20250802</v>
      </c>
      <c r="B46" s="4">
        <v>21</v>
      </c>
      <c r="C46" s="4">
        <v>7262.2070000000003</v>
      </c>
      <c r="D46" s="4">
        <v>7954.6459999999997</v>
      </c>
      <c r="E46" s="5">
        <f t="shared" si="2"/>
        <v>15216.852999999999</v>
      </c>
      <c r="F46" s="5">
        <v>0.2</v>
      </c>
      <c r="G46" s="6">
        <v>0</v>
      </c>
      <c r="H46" s="5">
        <f t="shared" si="8"/>
        <v>0</v>
      </c>
      <c r="I46" s="7">
        <v>557033.18729999999</v>
      </c>
      <c r="J46" s="7">
        <f t="shared" si="3"/>
        <v>0</v>
      </c>
      <c r="K46" s="7">
        <f t="shared" si="4"/>
        <v>-15216.852999999999</v>
      </c>
      <c r="L46" s="8">
        <v>140.05000000000001</v>
      </c>
      <c r="M46" s="5">
        <f t="shared" si="9"/>
        <v>0</v>
      </c>
      <c r="N46" s="5">
        <v>77971.285699999993</v>
      </c>
      <c r="O46" s="5">
        <f t="shared" si="5"/>
        <v>0</v>
      </c>
      <c r="P46" s="7">
        <f>(L46+T46)*MAX(0, K46)</f>
        <v>0</v>
      </c>
      <c r="Q46" s="7">
        <f t="shared" si="6"/>
        <v>0</v>
      </c>
      <c r="R46" s="11">
        <f>P46-Q46</f>
        <v>0</v>
      </c>
      <c r="S46" s="11">
        <f t="shared" si="7"/>
        <v>0</v>
      </c>
      <c r="T46" s="9">
        <f>N46/1000</f>
        <v>77.971285699999996</v>
      </c>
      <c r="U46" s="14">
        <f>T46+L46</f>
        <v>218.02128570000002</v>
      </c>
      <c r="V46" s="16">
        <v>10400</v>
      </c>
    </row>
    <row r="47" spans="1:22" x14ac:dyDescent="0.25">
      <c r="A47" s="4">
        <v>20250802</v>
      </c>
      <c r="B47" s="4">
        <v>22</v>
      </c>
      <c r="C47" s="4">
        <v>7211.0429999999997</v>
      </c>
      <c r="D47" s="4">
        <v>7808.5820000000003</v>
      </c>
      <c r="E47" s="5">
        <f t="shared" si="2"/>
        <v>15019.625</v>
      </c>
      <c r="F47" s="5">
        <v>0.2</v>
      </c>
      <c r="G47" s="6">
        <v>0</v>
      </c>
      <c r="H47" s="5">
        <f t="shared" si="8"/>
        <v>0</v>
      </c>
      <c r="I47" s="7">
        <v>557033.18729999999</v>
      </c>
      <c r="J47" s="7">
        <f t="shared" si="3"/>
        <v>0</v>
      </c>
      <c r="K47" s="7">
        <f t="shared" si="4"/>
        <v>-15019.625</v>
      </c>
      <c r="L47" s="8">
        <v>120.06</v>
      </c>
      <c r="M47" s="5">
        <f t="shared" si="9"/>
        <v>0</v>
      </c>
      <c r="N47" s="5">
        <v>77971.285699999993</v>
      </c>
      <c r="O47" s="5">
        <f t="shared" si="5"/>
        <v>0</v>
      </c>
      <c r="P47" s="7">
        <f>(L47+T47)*MAX(0, K47)</f>
        <v>0</v>
      </c>
      <c r="Q47" s="7">
        <f t="shared" si="6"/>
        <v>0</v>
      </c>
      <c r="R47" s="11">
        <f>P47-Q47</f>
        <v>0</v>
      </c>
      <c r="S47" s="11">
        <f t="shared" si="7"/>
        <v>0</v>
      </c>
      <c r="T47" s="9">
        <f>N47/1000</f>
        <v>77.971285699999996</v>
      </c>
      <c r="U47" s="14">
        <f>T47+L47</f>
        <v>198.03128570000001</v>
      </c>
      <c r="V47" s="16">
        <v>10400</v>
      </c>
    </row>
    <row r="48" spans="1:22" x14ac:dyDescent="0.25">
      <c r="A48" s="4">
        <v>20250802</v>
      </c>
      <c r="B48" s="4">
        <v>23</v>
      </c>
      <c r="C48" s="4">
        <v>6945.8819999999996</v>
      </c>
      <c r="D48" s="4">
        <v>7753.8919999999998</v>
      </c>
      <c r="E48" s="5">
        <f t="shared" si="2"/>
        <v>14699.773999999999</v>
      </c>
      <c r="F48" s="5">
        <v>0.2</v>
      </c>
      <c r="G48" s="6">
        <v>0</v>
      </c>
      <c r="H48" s="5">
        <f t="shared" si="8"/>
        <v>0</v>
      </c>
      <c r="I48" s="7">
        <v>557033.18729999999</v>
      </c>
      <c r="J48" s="7">
        <f t="shared" si="3"/>
        <v>0</v>
      </c>
      <c r="K48" s="7">
        <f t="shared" si="4"/>
        <v>-14699.773999999999</v>
      </c>
      <c r="L48" s="8">
        <v>116.93</v>
      </c>
      <c r="M48" s="5">
        <f t="shared" si="9"/>
        <v>0</v>
      </c>
      <c r="N48" s="5">
        <v>77971.285699999993</v>
      </c>
      <c r="O48" s="5">
        <f t="shared" si="5"/>
        <v>0</v>
      </c>
      <c r="P48" s="7">
        <f>(L48+T48)*MAX(0, K48)</f>
        <v>0</v>
      </c>
      <c r="Q48" s="7">
        <f t="shared" si="6"/>
        <v>0</v>
      </c>
      <c r="R48" s="11">
        <f>P48-Q48</f>
        <v>0</v>
      </c>
      <c r="S48" s="11">
        <f t="shared" si="7"/>
        <v>0</v>
      </c>
      <c r="T48" s="9">
        <f>N48/1000</f>
        <v>77.971285699999996</v>
      </c>
      <c r="U48" s="14">
        <f>T48+L48</f>
        <v>194.90128570000002</v>
      </c>
      <c r="V48" s="16">
        <v>10400</v>
      </c>
    </row>
    <row r="49" spans="1:22" x14ac:dyDescent="0.25">
      <c r="A49" s="4">
        <v>20250802</v>
      </c>
      <c r="B49" s="4">
        <v>24</v>
      </c>
      <c r="C49" s="4">
        <v>6203.6379999999999</v>
      </c>
      <c r="D49" s="4">
        <v>7654.317</v>
      </c>
      <c r="E49" s="5">
        <f t="shared" si="2"/>
        <v>13857.955</v>
      </c>
      <c r="F49" s="5">
        <v>0.2</v>
      </c>
      <c r="G49" s="6">
        <v>0</v>
      </c>
      <c r="H49" s="5">
        <f t="shared" si="8"/>
        <v>0</v>
      </c>
      <c r="I49" s="7">
        <v>557033.18729999999</v>
      </c>
      <c r="J49" s="7">
        <f t="shared" si="3"/>
        <v>0</v>
      </c>
      <c r="K49" s="7">
        <f t="shared" si="4"/>
        <v>-13857.955</v>
      </c>
      <c r="L49" s="8">
        <v>116.87</v>
      </c>
      <c r="M49" s="5">
        <f t="shared" si="9"/>
        <v>0</v>
      </c>
      <c r="N49" s="5">
        <v>77971.285699999993</v>
      </c>
      <c r="O49" s="5">
        <f t="shared" si="5"/>
        <v>0</v>
      </c>
      <c r="P49" s="7">
        <f>(L49+T49)*MAX(0, K49)</f>
        <v>0</v>
      </c>
      <c r="Q49" s="7">
        <f t="shared" si="6"/>
        <v>0</v>
      </c>
      <c r="R49" s="11">
        <f>P49-Q49</f>
        <v>0</v>
      </c>
      <c r="S49" s="11">
        <f t="shared" si="7"/>
        <v>0</v>
      </c>
      <c r="T49" s="9">
        <f>N49/1000</f>
        <v>77.971285699999996</v>
      </c>
      <c r="U49" s="14">
        <f>T49+L49</f>
        <v>194.84128570000001</v>
      </c>
      <c r="V49" s="16">
        <v>10400</v>
      </c>
    </row>
    <row r="50" spans="1:22" x14ac:dyDescent="0.25">
      <c r="A50" s="4">
        <v>20250803</v>
      </c>
      <c r="B50" s="4">
        <v>1</v>
      </c>
      <c r="C50" s="4">
        <v>5388.5389999999998</v>
      </c>
      <c r="D50" s="4">
        <v>7637.799</v>
      </c>
      <c r="E50" s="5">
        <f t="shared" si="2"/>
        <v>13026.338</v>
      </c>
      <c r="F50" s="5">
        <v>0.2</v>
      </c>
      <c r="G50" s="6">
        <v>0</v>
      </c>
      <c r="H50" s="5">
        <f t="shared" si="8"/>
        <v>0</v>
      </c>
      <c r="I50" s="7">
        <v>557033.18729999999</v>
      </c>
      <c r="J50" s="7">
        <f t="shared" si="3"/>
        <v>0</v>
      </c>
      <c r="K50" s="7">
        <f t="shared" si="4"/>
        <v>-13026.338</v>
      </c>
      <c r="L50" s="8">
        <v>115.93</v>
      </c>
      <c r="M50" s="5">
        <f t="shared" si="9"/>
        <v>0</v>
      </c>
      <c r="N50" s="5">
        <v>77985.571400000001</v>
      </c>
      <c r="O50" s="5">
        <f t="shared" si="5"/>
        <v>0</v>
      </c>
      <c r="P50" s="7">
        <f>(L50+T50)*MAX(0, K50)</f>
        <v>0</v>
      </c>
      <c r="Q50" s="7">
        <f t="shared" si="6"/>
        <v>0</v>
      </c>
      <c r="R50" s="11">
        <f>P50-Q50</f>
        <v>0</v>
      </c>
      <c r="S50" s="11">
        <f t="shared" si="7"/>
        <v>0</v>
      </c>
      <c r="T50" s="9">
        <f>N50/1000</f>
        <v>77.985571399999998</v>
      </c>
      <c r="U50" s="14">
        <f>T50+L50</f>
        <v>193.9155714</v>
      </c>
      <c r="V50" s="16">
        <v>10400</v>
      </c>
    </row>
    <row r="51" spans="1:22" x14ac:dyDescent="0.25">
      <c r="A51" s="4">
        <v>20250803</v>
      </c>
      <c r="B51" s="4">
        <v>2</v>
      </c>
      <c r="C51" s="4">
        <v>4650.915</v>
      </c>
      <c r="D51" s="4">
        <v>7638.0069999999996</v>
      </c>
      <c r="E51" s="5">
        <f t="shared" si="2"/>
        <v>12288.921999999999</v>
      </c>
      <c r="F51" s="5">
        <v>0.2</v>
      </c>
      <c r="G51" s="6">
        <v>0</v>
      </c>
      <c r="H51" s="5">
        <f t="shared" si="8"/>
        <v>0</v>
      </c>
      <c r="I51" s="7">
        <v>557033.18729999999</v>
      </c>
      <c r="J51" s="7">
        <f t="shared" si="3"/>
        <v>0</v>
      </c>
      <c r="K51" s="7">
        <f t="shared" si="4"/>
        <v>-12288.921999999999</v>
      </c>
      <c r="L51" s="8">
        <v>116.11</v>
      </c>
      <c r="M51" s="5">
        <f t="shared" si="9"/>
        <v>0</v>
      </c>
      <c r="N51" s="5">
        <v>77985.571400000001</v>
      </c>
      <c r="O51" s="5">
        <f t="shared" si="5"/>
        <v>0</v>
      </c>
      <c r="P51" s="7">
        <f>(L51+T51)*MAX(0, K51)</f>
        <v>0</v>
      </c>
      <c r="Q51" s="7">
        <f t="shared" si="6"/>
        <v>0</v>
      </c>
      <c r="R51" s="11">
        <f>P51-Q51</f>
        <v>0</v>
      </c>
      <c r="S51" s="11">
        <f t="shared" si="7"/>
        <v>0</v>
      </c>
      <c r="T51" s="9">
        <f>N51/1000</f>
        <v>77.985571399999998</v>
      </c>
      <c r="U51" s="14">
        <f>T51+L51</f>
        <v>194.09557139999998</v>
      </c>
      <c r="V51" s="16">
        <v>10400</v>
      </c>
    </row>
    <row r="52" spans="1:22" x14ac:dyDescent="0.25">
      <c r="A52" s="4">
        <v>20250803</v>
      </c>
      <c r="B52" s="4">
        <v>3</v>
      </c>
      <c r="C52" s="4">
        <v>4205.5529999999999</v>
      </c>
      <c r="D52" s="4">
        <v>7601.4470000000001</v>
      </c>
      <c r="E52" s="5">
        <f t="shared" si="2"/>
        <v>11807</v>
      </c>
      <c r="F52" s="5">
        <v>0.2</v>
      </c>
      <c r="G52" s="6">
        <v>0</v>
      </c>
      <c r="H52" s="5">
        <f t="shared" si="8"/>
        <v>0</v>
      </c>
      <c r="I52" s="7">
        <v>557033.18729999999</v>
      </c>
      <c r="J52" s="7">
        <f t="shared" si="3"/>
        <v>0</v>
      </c>
      <c r="K52" s="7">
        <f t="shared" si="4"/>
        <v>-11807</v>
      </c>
      <c r="L52" s="8">
        <v>115.93</v>
      </c>
      <c r="M52" s="5">
        <f t="shared" si="9"/>
        <v>0</v>
      </c>
      <c r="N52" s="5">
        <v>77985.571400000001</v>
      </c>
      <c r="O52" s="5">
        <f t="shared" si="5"/>
        <v>0</v>
      </c>
      <c r="P52" s="7">
        <f>(L52+T52)*MAX(0, K52)</f>
        <v>0</v>
      </c>
      <c r="Q52" s="7">
        <f t="shared" si="6"/>
        <v>0</v>
      </c>
      <c r="R52" s="11">
        <f>P52-Q52</f>
        <v>0</v>
      </c>
      <c r="S52" s="11">
        <f t="shared" si="7"/>
        <v>0</v>
      </c>
      <c r="T52" s="9">
        <f>N52/1000</f>
        <v>77.985571399999998</v>
      </c>
      <c r="U52" s="14">
        <f>T52+L52</f>
        <v>193.9155714</v>
      </c>
      <c r="V52" s="16">
        <v>10400</v>
      </c>
    </row>
    <row r="53" spans="1:22" x14ac:dyDescent="0.25">
      <c r="A53" s="4">
        <v>20250803</v>
      </c>
      <c r="B53" s="4">
        <v>4</v>
      </c>
      <c r="C53" s="4">
        <v>3890.4589999999998</v>
      </c>
      <c r="D53" s="4">
        <v>7570.7969999999996</v>
      </c>
      <c r="E53" s="5">
        <f t="shared" si="2"/>
        <v>11461.255999999999</v>
      </c>
      <c r="F53" s="5">
        <v>0.2</v>
      </c>
      <c r="G53" s="6">
        <v>0</v>
      </c>
      <c r="H53" s="5">
        <f t="shared" si="8"/>
        <v>0</v>
      </c>
      <c r="I53" s="7">
        <v>557033.18729999999</v>
      </c>
      <c r="J53" s="7">
        <f t="shared" si="3"/>
        <v>0</v>
      </c>
      <c r="K53" s="7">
        <f t="shared" si="4"/>
        <v>-11461.255999999999</v>
      </c>
      <c r="L53" s="8">
        <v>108.55</v>
      </c>
      <c r="M53" s="5">
        <f t="shared" si="9"/>
        <v>0</v>
      </c>
      <c r="N53" s="5">
        <v>77985.571400000001</v>
      </c>
      <c r="O53" s="5">
        <f t="shared" si="5"/>
        <v>0</v>
      </c>
      <c r="P53" s="7">
        <f>(L53+T53)*MAX(0, K53)</f>
        <v>0</v>
      </c>
      <c r="Q53" s="7">
        <f t="shared" si="6"/>
        <v>0</v>
      </c>
      <c r="R53" s="11">
        <f>P53-Q53</f>
        <v>0</v>
      </c>
      <c r="S53" s="11">
        <f t="shared" si="7"/>
        <v>0</v>
      </c>
      <c r="T53" s="9">
        <f>N53/1000</f>
        <v>77.985571399999998</v>
      </c>
      <c r="U53" s="14">
        <f>T53+L53</f>
        <v>186.53557139999998</v>
      </c>
      <c r="V53" s="16">
        <v>10400</v>
      </c>
    </row>
    <row r="54" spans="1:22" x14ac:dyDescent="0.25">
      <c r="A54" s="4">
        <v>20250803</v>
      </c>
      <c r="B54" s="4">
        <v>5</v>
      </c>
      <c r="C54" s="4">
        <v>3702.9250000000002</v>
      </c>
      <c r="D54" s="4">
        <v>7576.9790000000003</v>
      </c>
      <c r="E54" s="5">
        <f t="shared" si="2"/>
        <v>11279.904</v>
      </c>
      <c r="F54" s="5">
        <v>0.2</v>
      </c>
      <c r="G54" s="6">
        <v>0</v>
      </c>
      <c r="H54" s="5">
        <f t="shared" si="8"/>
        <v>0</v>
      </c>
      <c r="I54" s="7">
        <v>557033.18729999999</v>
      </c>
      <c r="J54" s="7">
        <f t="shared" si="3"/>
        <v>0</v>
      </c>
      <c r="K54" s="7">
        <f t="shared" si="4"/>
        <v>-11279.904</v>
      </c>
      <c r="L54" s="8">
        <v>76.5</v>
      </c>
      <c r="M54" s="5">
        <f t="shared" si="9"/>
        <v>0</v>
      </c>
      <c r="N54" s="5">
        <v>77985.571400000001</v>
      </c>
      <c r="O54" s="5">
        <f t="shared" si="5"/>
        <v>0</v>
      </c>
      <c r="P54" s="7">
        <f>(L54+T54)*MAX(0, K54)</f>
        <v>0</v>
      </c>
      <c r="Q54" s="7">
        <f t="shared" si="6"/>
        <v>0</v>
      </c>
      <c r="R54" s="11">
        <f>P54-Q54</f>
        <v>0</v>
      </c>
      <c r="S54" s="11">
        <f t="shared" si="7"/>
        <v>0</v>
      </c>
      <c r="T54" s="9">
        <f>N54/1000</f>
        <v>77.985571399999998</v>
      </c>
      <c r="U54" s="14">
        <f>T54+L54</f>
        <v>154.4855714</v>
      </c>
      <c r="V54" s="16">
        <v>10400</v>
      </c>
    </row>
    <row r="55" spans="1:22" x14ac:dyDescent="0.25">
      <c r="A55" s="4">
        <v>20250803</v>
      </c>
      <c r="B55" s="4">
        <v>6</v>
      </c>
      <c r="C55" s="4">
        <v>3584.6509999999998</v>
      </c>
      <c r="D55" s="4">
        <v>7556.384</v>
      </c>
      <c r="E55" s="5">
        <f t="shared" si="2"/>
        <v>11141.035</v>
      </c>
      <c r="F55" s="5">
        <v>0.2</v>
      </c>
      <c r="G55" s="6">
        <v>0</v>
      </c>
      <c r="H55" s="5">
        <f t="shared" si="8"/>
        <v>0</v>
      </c>
      <c r="I55" s="7">
        <v>557033.18729999999</v>
      </c>
      <c r="J55" s="7">
        <f t="shared" si="3"/>
        <v>0</v>
      </c>
      <c r="K55" s="7">
        <f t="shared" si="4"/>
        <v>-11141.035</v>
      </c>
      <c r="L55" s="8">
        <v>108.95</v>
      </c>
      <c r="M55" s="5">
        <f t="shared" si="9"/>
        <v>0</v>
      </c>
      <c r="N55" s="5">
        <v>77985.571400000001</v>
      </c>
      <c r="O55" s="5">
        <f t="shared" si="5"/>
        <v>0</v>
      </c>
      <c r="P55" s="7">
        <f>(L55+T55)*MAX(0, K55)</f>
        <v>0</v>
      </c>
      <c r="Q55" s="7">
        <f t="shared" si="6"/>
        <v>0</v>
      </c>
      <c r="R55" s="11">
        <f>P55-Q55</f>
        <v>0</v>
      </c>
      <c r="S55" s="11">
        <f t="shared" si="7"/>
        <v>0</v>
      </c>
      <c r="T55" s="9">
        <f>N55/1000</f>
        <v>77.985571399999998</v>
      </c>
      <c r="U55" s="14">
        <f>T55+L55</f>
        <v>186.93557140000001</v>
      </c>
      <c r="V55" s="16">
        <v>10400</v>
      </c>
    </row>
    <row r="56" spans="1:22" x14ac:dyDescent="0.25">
      <c r="A56" s="4">
        <v>20250803</v>
      </c>
      <c r="B56" s="4">
        <v>7</v>
      </c>
      <c r="C56" s="4">
        <v>3720.8330000000001</v>
      </c>
      <c r="D56" s="4">
        <v>7571.8549999999996</v>
      </c>
      <c r="E56" s="5">
        <f t="shared" si="2"/>
        <v>11292.688</v>
      </c>
      <c r="F56" s="5">
        <v>0.2</v>
      </c>
      <c r="G56" s="6">
        <v>0</v>
      </c>
      <c r="H56" s="5">
        <f t="shared" si="8"/>
        <v>0</v>
      </c>
      <c r="I56" s="7">
        <v>557033.18729999999</v>
      </c>
      <c r="J56" s="7">
        <f t="shared" si="3"/>
        <v>0</v>
      </c>
      <c r="K56" s="7">
        <f t="shared" si="4"/>
        <v>-11292.688</v>
      </c>
      <c r="L56" s="8">
        <v>115.93</v>
      </c>
      <c r="M56" s="5">
        <f t="shared" si="9"/>
        <v>0</v>
      </c>
      <c r="N56" s="5">
        <v>77985.571400000001</v>
      </c>
      <c r="O56" s="5">
        <f t="shared" si="5"/>
        <v>0</v>
      </c>
      <c r="P56" s="7">
        <f>(L56+T56)*MAX(0, K56)</f>
        <v>0</v>
      </c>
      <c r="Q56" s="7">
        <f t="shared" si="6"/>
        <v>0</v>
      </c>
      <c r="R56" s="11">
        <f>P56-Q56</f>
        <v>0</v>
      </c>
      <c r="S56" s="11">
        <f t="shared" si="7"/>
        <v>0</v>
      </c>
      <c r="T56" s="9">
        <f>N56/1000</f>
        <v>77.985571399999998</v>
      </c>
      <c r="U56" s="14">
        <f>T56+L56</f>
        <v>193.9155714</v>
      </c>
      <c r="V56" s="16">
        <v>10400</v>
      </c>
    </row>
    <row r="57" spans="1:22" x14ac:dyDescent="0.25">
      <c r="A57" s="4">
        <v>20250803</v>
      </c>
      <c r="B57" s="4">
        <v>8</v>
      </c>
      <c r="C57" s="4">
        <v>4071.3760000000002</v>
      </c>
      <c r="D57" s="4">
        <v>7661.9120000000003</v>
      </c>
      <c r="E57" s="5">
        <f t="shared" si="2"/>
        <v>11733.288</v>
      </c>
      <c r="F57" s="5">
        <v>0.2</v>
      </c>
      <c r="G57" s="6">
        <v>0.04</v>
      </c>
      <c r="H57" s="5">
        <f t="shared" si="8"/>
        <v>1.1111111111111112E-2</v>
      </c>
      <c r="I57" s="7">
        <v>557033.18729999999</v>
      </c>
      <c r="J57" s="7">
        <f t="shared" si="3"/>
        <v>1237.8515273333333</v>
      </c>
      <c r="K57" s="7">
        <f t="shared" si="4"/>
        <v>-10495.436472666668</v>
      </c>
      <c r="L57" s="8">
        <v>114.09</v>
      </c>
      <c r="M57" s="5">
        <f t="shared" si="9"/>
        <v>1.2378515273333333</v>
      </c>
      <c r="N57" s="5">
        <v>77985.571400000001</v>
      </c>
      <c r="O57" s="5">
        <f t="shared" si="5"/>
        <v>96534.558667452715</v>
      </c>
      <c r="P57" s="7">
        <f>(L57+T57)*MAX(0, K57)</f>
        <v>0</v>
      </c>
      <c r="Q57" s="7">
        <f t="shared" si="6"/>
        <v>0</v>
      </c>
      <c r="R57" s="11">
        <f>P57-Q57</f>
        <v>0</v>
      </c>
      <c r="S57" s="11">
        <f t="shared" si="7"/>
        <v>77.985571399999998</v>
      </c>
      <c r="T57" s="9">
        <f>N57/1000</f>
        <v>77.985571399999998</v>
      </c>
      <c r="U57" s="14">
        <f>T57+L57</f>
        <v>192.0755714</v>
      </c>
      <c r="V57" s="16">
        <v>10400</v>
      </c>
    </row>
    <row r="58" spans="1:22" x14ac:dyDescent="0.25">
      <c r="A58" s="4">
        <v>20250803</v>
      </c>
      <c r="B58" s="4">
        <v>9</v>
      </c>
      <c r="C58" s="4">
        <v>4706.4229999999998</v>
      </c>
      <c r="D58" s="4">
        <v>7700.9470000000001</v>
      </c>
      <c r="E58" s="5">
        <f t="shared" si="2"/>
        <v>12407.369999999999</v>
      </c>
      <c r="F58" s="5">
        <v>0.2</v>
      </c>
      <c r="G58" s="6">
        <v>0.16</v>
      </c>
      <c r="H58" s="5">
        <f t="shared" si="8"/>
        <v>4.4444444444444446E-2</v>
      </c>
      <c r="I58" s="7">
        <v>557033.18729999999</v>
      </c>
      <c r="J58" s="7">
        <f t="shared" si="3"/>
        <v>4951.406109333333</v>
      </c>
      <c r="K58" s="7">
        <f t="shared" si="4"/>
        <v>-7455.963890666666</v>
      </c>
      <c r="L58" s="8">
        <v>115.93</v>
      </c>
      <c r="M58" s="5">
        <f t="shared" si="9"/>
        <v>4.951406109333333</v>
      </c>
      <c r="N58" s="5">
        <v>77985.571400000001</v>
      </c>
      <c r="O58" s="5">
        <f t="shared" si="5"/>
        <v>386138.23466981086</v>
      </c>
      <c r="P58" s="7">
        <f>(L58+T58)*MAX(0, K58)</f>
        <v>0</v>
      </c>
      <c r="Q58" s="7">
        <f t="shared" si="6"/>
        <v>0</v>
      </c>
      <c r="R58" s="11">
        <f>P58-Q58</f>
        <v>0</v>
      </c>
      <c r="S58" s="11">
        <f t="shared" si="7"/>
        <v>77.985571399999998</v>
      </c>
      <c r="T58" s="9">
        <f>N58/1000</f>
        <v>77.985571399999998</v>
      </c>
      <c r="U58" s="14">
        <f>T58+L58</f>
        <v>193.9155714</v>
      </c>
      <c r="V58" s="16">
        <v>10400</v>
      </c>
    </row>
    <row r="59" spans="1:22" x14ac:dyDescent="0.25">
      <c r="A59" s="4">
        <v>20250803</v>
      </c>
      <c r="B59" s="4">
        <v>10</v>
      </c>
      <c r="C59" s="4">
        <v>5349.1120000000001</v>
      </c>
      <c r="D59" s="4">
        <v>7974.3950000000004</v>
      </c>
      <c r="E59" s="5">
        <f t="shared" si="2"/>
        <v>13323.507000000001</v>
      </c>
      <c r="F59" s="5">
        <v>0.2</v>
      </c>
      <c r="G59" s="6">
        <v>0.49999999999999989</v>
      </c>
      <c r="H59" s="5">
        <f t="shared" si="8"/>
        <v>0.13888888888888887</v>
      </c>
      <c r="I59" s="7">
        <v>557033.18729999999</v>
      </c>
      <c r="J59" s="7">
        <f t="shared" si="3"/>
        <v>15473.144091666663</v>
      </c>
      <c r="K59" s="7">
        <f t="shared" si="4"/>
        <v>2149.6370916666619</v>
      </c>
      <c r="L59" s="8">
        <v>116.9</v>
      </c>
      <c r="M59" s="5">
        <f t="shared" si="9"/>
        <v>15.473144091666663</v>
      </c>
      <c r="N59" s="5">
        <v>77985.571400000001</v>
      </c>
      <c r="O59" s="5">
        <f t="shared" si="5"/>
        <v>1206681.9833431586</v>
      </c>
      <c r="P59" s="7">
        <f>(L59+T59)*MAX(0, K59)</f>
        <v>418933.25291209162</v>
      </c>
      <c r="Q59" s="7">
        <f t="shared" si="6"/>
        <v>251292.5760158328</v>
      </c>
      <c r="R59" s="11">
        <f>P59-Q59</f>
        <v>167640.67689625881</v>
      </c>
      <c r="S59" s="11">
        <f t="shared" si="7"/>
        <v>77.985571399999998</v>
      </c>
      <c r="T59" s="9">
        <f>N59/1000</f>
        <v>77.985571399999998</v>
      </c>
      <c r="U59" s="14">
        <f>T59+L59</f>
        <v>194.8855714</v>
      </c>
      <c r="V59" s="16">
        <v>10400</v>
      </c>
    </row>
    <row r="60" spans="1:22" x14ac:dyDescent="0.25">
      <c r="A60" s="4">
        <v>20250803</v>
      </c>
      <c r="B60" s="4">
        <v>11</v>
      </c>
      <c r="C60" s="4">
        <v>5744.2240000000002</v>
      </c>
      <c r="D60" s="4">
        <v>8225.8449999999993</v>
      </c>
      <c r="E60" s="5">
        <f t="shared" si="2"/>
        <v>13970.069</v>
      </c>
      <c r="F60" s="5">
        <v>0.2</v>
      </c>
      <c r="G60" s="6">
        <v>0.6100000000000001</v>
      </c>
      <c r="H60" s="5">
        <f t="shared" si="8"/>
        <v>0.16944444444444448</v>
      </c>
      <c r="I60" s="7">
        <v>557033.18729999999</v>
      </c>
      <c r="J60" s="7">
        <f t="shared" si="3"/>
        <v>18877.235791833336</v>
      </c>
      <c r="K60" s="7">
        <f t="shared" si="4"/>
        <v>4907.1667918333369</v>
      </c>
      <c r="L60" s="8">
        <v>116.73</v>
      </c>
      <c r="M60" s="5">
        <f t="shared" si="9"/>
        <v>18.877235791833336</v>
      </c>
      <c r="N60" s="5">
        <v>77985.571400000001</v>
      </c>
      <c r="O60" s="5">
        <f t="shared" si="5"/>
        <v>1472152.0196786541</v>
      </c>
      <c r="P60" s="7">
        <f>(L60+T60)*MAX(0, K60)</f>
        <v>955501.78582693299</v>
      </c>
      <c r="Q60" s="7">
        <f t="shared" si="6"/>
        <v>572813.57961070549</v>
      </c>
      <c r="R60" s="11">
        <f>P60-Q60</f>
        <v>382688.2062162275</v>
      </c>
      <c r="S60" s="11">
        <f t="shared" si="7"/>
        <v>77.985571399999998</v>
      </c>
      <c r="T60" s="9">
        <f>N60/1000</f>
        <v>77.985571399999998</v>
      </c>
      <c r="U60" s="14">
        <f>T60+L60</f>
        <v>194.71557139999999</v>
      </c>
      <c r="V60" s="16">
        <v>10400</v>
      </c>
    </row>
    <row r="61" spans="1:22" x14ac:dyDescent="0.25">
      <c r="A61" s="4">
        <v>20250803</v>
      </c>
      <c r="B61" s="4">
        <v>12</v>
      </c>
      <c r="C61" s="4">
        <v>6021.5749999999998</v>
      </c>
      <c r="D61" s="4">
        <v>8359.6409999999996</v>
      </c>
      <c r="E61" s="5">
        <f t="shared" si="2"/>
        <v>14381.216</v>
      </c>
      <c r="F61" s="5">
        <v>0.2</v>
      </c>
      <c r="G61" s="6">
        <v>0.73999999999999977</v>
      </c>
      <c r="H61" s="5">
        <f t="shared" si="8"/>
        <v>0.20555555555555549</v>
      </c>
      <c r="I61" s="7">
        <v>557033.18729999999</v>
      </c>
      <c r="J61" s="7">
        <f t="shared" si="3"/>
        <v>22900.253255666659</v>
      </c>
      <c r="K61" s="7">
        <f t="shared" si="4"/>
        <v>8519.0372556666589</v>
      </c>
      <c r="L61" s="8">
        <v>118.18</v>
      </c>
      <c r="M61" s="5">
        <f t="shared" si="9"/>
        <v>22.900253255666659</v>
      </c>
      <c r="N61" s="5">
        <v>77985.571400000001</v>
      </c>
      <c r="O61" s="5">
        <f t="shared" si="5"/>
        <v>1785889.3353478748</v>
      </c>
      <c r="P61" s="7">
        <f>(L61+T61)*MAX(0, K61)</f>
        <v>1671141.8110357381</v>
      </c>
      <c r="Q61" s="7">
        <f t="shared" si="6"/>
        <v>1006779.8228746857</v>
      </c>
      <c r="R61" s="11">
        <f>P61-Q61</f>
        <v>664361.98816105234</v>
      </c>
      <c r="S61" s="11">
        <f t="shared" si="7"/>
        <v>77.985571399999998</v>
      </c>
      <c r="T61" s="9">
        <f>N61/1000</f>
        <v>77.985571399999998</v>
      </c>
      <c r="U61" s="14">
        <f>T61+L61</f>
        <v>196.1655714</v>
      </c>
      <c r="V61" s="16">
        <v>10400</v>
      </c>
    </row>
    <row r="62" spans="1:22" x14ac:dyDescent="0.25">
      <c r="A62" s="4">
        <v>20250803</v>
      </c>
      <c r="B62" s="4">
        <v>13</v>
      </c>
      <c r="C62" s="4">
        <v>6248.3850000000002</v>
      </c>
      <c r="D62" s="4">
        <v>8302.7139999999999</v>
      </c>
      <c r="E62" s="5">
        <f t="shared" si="2"/>
        <v>14551.099</v>
      </c>
      <c r="F62" s="5">
        <v>0.2</v>
      </c>
      <c r="G62" s="6">
        <v>0.68000000000000016</v>
      </c>
      <c r="H62" s="5">
        <f t="shared" si="8"/>
        <v>0.18888888888888894</v>
      </c>
      <c r="I62" s="7">
        <v>557033.18729999999</v>
      </c>
      <c r="J62" s="7">
        <f t="shared" si="3"/>
        <v>21043.475964666672</v>
      </c>
      <c r="K62" s="7">
        <f t="shared" si="4"/>
        <v>6492.3769646666715</v>
      </c>
      <c r="L62" s="8">
        <v>125.37</v>
      </c>
      <c r="M62" s="5">
        <f t="shared" si="9"/>
        <v>21.043475964666673</v>
      </c>
      <c r="N62" s="5">
        <v>77985.571400000001</v>
      </c>
      <c r="O62" s="5">
        <f t="shared" si="5"/>
        <v>1641087.4973466967</v>
      </c>
      <c r="P62" s="7">
        <f>(L62+T62)*MAX(0, K62)</f>
        <v>1320261.0273939886</v>
      </c>
      <c r="Q62" s="7">
        <f t="shared" si="6"/>
        <v>813949.30006026058</v>
      </c>
      <c r="R62" s="11">
        <f>P62-Q62</f>
        <v>506311.72733372799</v>
      </c>
      <c r="S62" s="11">
        <f t="shared" si="7"/>
        <v>77.985571399999998</v>
      </c>
      <c r="T62" s="9">
        <f>N62/1000</f>
        <v>77.985571399999998</v>
      </c>
      <c r="U62" s="14">
        <f>T62+L62</f>
        <v>203.3555714</v>
      </c>
      <c r="V62" s="16">
        <v>10400</v>
      </c>
    </row>
    <row r="63" spans="1:22" x14ac:dyDescent="0.25">
      <c r="A63" s="4">
        <v>20250803</v>
      </c>
      <c r="B63" s="4">
        <v>14</v>
      </c>
      <c r="C63" s="4">
        <v>6339.41</v>
      </c>
      <c r="D63" s="4">
        <v>8281.9560000000001</v>
      </c>
      <c r="E63" s="5">
        <f t="shared" si="2"/>
        <v>14621.366</v>
      </c>
      <c r="F63" s="5">
        <v>0.2</v>
      </c>
      <c r="G63" s="6">
        <v>0.68000000000000016</v>
      </c>
      <c r="H63" s="5">
        <f t="shared" si="8"/>
        <v>0.18888888888888894</v>
      </c>
      <c r="I63" s="7">
        <v>557033.18729999999</v>
      </c>
      <c r="J63" s="7">
        <f t="shared" si="3"/>
        <v>21043.475964666672</v>
      </c>
      <c r="K63" s="7">
        <f t="shared" si="4"/>
        <v>6422.1099646666717</v>
      </c>
      <c r="L63" s="8">
        <v>125.89</v>
      </c>
      <c r="M63" s="5">
        <f t="shared" si="9"/>
        <v>21.043475964666673</v>
      </c>
      <c r="N63" s="5">
        <v>77985.571400000001</v>
      </c>
      <c r="O63" s="5">
        <f t="shared" si="5"/>
        <v>1641087.4973466967</v>
      </c>
      <c r="P63" s="7">
        <f>(L63+T63)*MAX(0, K63)</f>
        <v>1309311.3386400517</v>
      </c>
      <c r="Q63" s="7">
        <f t="shared" si="6"/>
        <v>808479.42345188733</v>
      </c>
      <c r="R63" s="11">
        <f>P63-Q63</f>
        <v>500831.91518816433</v>
      </c>
      <c r="S63" s="11">
        <f t="shared" si="7"/>
        <v>77.985571399999998</v>
      </c>
      <c r="T63" s="9">
        <f>N63/1000</f>
        <v>77.985571399999998</v>
      </c>
      <c r="U63" s="14">
        <f>T63+L63</f>
        <v>203.87557140000001</v>
      </c>
      <c r="V63" s="16">
        <v>10400</v>
      </c>
    </row>
    <row r="64" spans="1:22" x14ac:dyDescent="0.25">
      <c r="A64" s="4">
        <v>20250803</v>
      </c>
      <c r="B64" s="4">
        <v>15</v>
      </c>
      <c r="C64" s="4">
        <v>6366.1509999999998</v>
      </c>
      <c r="D64" s="4">
        <v>8345.0509999999995</v>
      </c>
      <c r="E64" s="5">
        <f t="shared" si="2"/>
        <v>14711.201999999999</v>
      </c>
      <c r="F64" s="5">
        <v>0.2</v>
      </c>
      <c r="G64" s="6">
        <v>0.63999999999999968</v>
      </c>
      <c r="H64" s="5">
        <f t="shared" si="8"/>
        <v>0.17777777777777767</v>
      </c>
      <c r="I64" s="7">
        <v>557033.18729999999</v>
      </c>
      <c r="J64" s="7">
        <f t="shared" si="3"/>
        <v>19805.624437333321</v>
      </c>
      <c r="K64" s="7">
        <f t="shared" si="4"/>
        <v>5094.4224373333218</v>
      </c>
      <c r="L64" s="8">
        <v>122.95</v>
      </c>
      <c r="M64" s="5">
        <f t="shared" si="9"/>
        <v>19.805624437333321</v>
      </c>
      <c r="N64" s="5">
        <v>77985.571400000001</v>
      </c>
      <c r="O64" s="5">
        <f t="shared" si="5"/>
        <v>1544552.9386792425</v>
      </c>
      <c r="P64" s="7">
        <f>(L64+T64)*MAX(0, K64)</f>
        <v>1023650.6833985518</v>
      </c>
      <c r="Q64" s="7">
        <f t="shared" si="6"/>
        <v>626359.23867013189</v>
      </c>
      <c r="R64" s="11">
        <f>P64-Q64</f>
        <v>397291.44472841988</v>
      </c>
      <c r="S64" s="11">
        <f t="shared" si="7"/>
        <v>77.985571399999998</v>
      </c>
      <c r="T64" s="9">
        <f>N64/1000</f>
        <v>77.985571399999998</v>
      </c>
      <c r="U64" s="14">
        <f>T64+L64</f>
        <v>200.93557140000001</v>
      </c>
      <c r="V64" s="16">
        <v>10400</v>
      </c>
    </row>
    <row r="65" spans="1:22" x14ac:dyDescent="0.25">
      <c r="A65" s="4">
        <v>20250803</v>
      </c>
      <c r="B65" s="4">
        <v>16</v>
      </c>
      <c r="C65" s="4">
        <v>6359.2479999999996</v>
      </c>
      <c r="D65" s="4">
        <v>8253.6</v>
      </c>
      <c r="E65" s="5">
        <f t="shared" si="2"/>
        <v>14612.848</v>
      </c>
      <c r="F65" s="5">
        <v>0.2</v>
      </c>
      <c r="G65" s="6">
        <v>0.35000000000000048</v>
      </c>
      <c r="H65" s="5">
        <f t="shared" si="8"/>
        <v>9.7222222222222349E-2</v>
      </c>
      <c r="I65" s="7">
        <v>557033.18729999999</v>
      </c>
      <c r="J65" s="7">
        <f t="shared" si="3"/>
        <v>10831.20086416668</v>
      </c>
      <c r="K65" s="7">
        <f t="shared" si="4"/>
        <v>-3781.6471358333201</v>
      </c>
      <c r="L65" s="8">
        <v>122.4</v>
      </c>
      <c r="M65" s="5">
        <f t="shared" si="9"/>
        <v>10.83120086416668</v>
      </c>
      <c r="N65" s="5">
        <v>77985.571400000001</v>
      </c>
      <c r="O65" s="5">
        <f t="shared" si="5"/>
        <v>844677.3883402124</v>
      </c>
      <c r="P65" s="7">
        <f>(L65+T65)*MAX(0, K65)</f>
        <v>0</v>
      </c>
      <c r="Q65" s="7">
        <f t="shared" si="6"/>
        <v>0</v>
      </c>
      <c r="R65" s="11">
        <f>P65-Q65</f>
        <v>0</v>
      </c>
      <c r="S65" s="11">
        <f t="shared" si="7"/>
        <v>77.985571400000012</v>
      </c>
      <c r="T65" s="9">
        <f>N65/1000</f>
        <v>77.985571399999998</v>
      </c>
      <c r="U65" s="14">
        <f>T65+L65</f>
        <v>200.3855714</v>
      </c>
      <c r="V65" s="16">
        <v>10400</v>
      </c>
    </row>
    <row r="66" spans="1:22" x14ac:dyDescent="0.25">
      <c r="A66" s="4">
        <v>20250803</v>
      </c>
      <c r="B66" s="4">
        <v>17</v>
      </c>
      <c r="C66" s="4">
        <v>6479.0879999999997</v>
      </c>
      <c r="D66" s="4">
        <v>8125.3230000000003</v>
      </c>
      <c r="E66" s="5">
        <f t="shared" si="2"/>
        <v>14604.411</v>
      </c>
      <c r="F66" s="5">
        <v>0.2</v>
      </c>
      <c r="G66" s="6">
        <v>0.17999999999999969</v>
      </c>
      <c r="H66" s="5">
        <f t="shared" si="8"/>
        <v>4.9999999999999913E-2</v>
      </c>
      <c r="I66" s="7">
        <v>557033.18729999999</v>
      </c>
      <c r="J66" s="7">
        <f t="shared" si="3"/>
        <v>5570.3318729999901</v>
      </c>
      <c r="K66" s="7">
        <f t="shared" si="4"/>
        <v>-9034.07912700001</v>
      </c>
      <c r="L66" s="8">
        <v>120.45</v>
      </c>
      <c r="M66" s="5">
        <f t="shared" ref="M66:M97" si="10" xml:space="preserve"> J66/1000</f>
        <v>5.57033187299999</v>
      </c>
      <c r="N66" s="5">
        <v>77985.571400000001</v>
      </c>
      <c r="O66" s="5">
        <f t="shared" si="5"/>
        <v>434405.51400353643</v>
      </c>
      <c r="P66" s="7">
        <f>(L66+T66)*MAX(0, K66)</f>
        <v>0</v>
      </c>
      <c r="Q66" s="7">
        <f t="shared" si="6"/>
        <v>0</v>
      </c>
      <c r="R66" s="11">
        <f>P66-Q66</f>
        <v>0</v>
      </c>
      <c r="S66" s="11">
        <f t="shared" si="7"/>
        <v>77.985571399999998</v>
      </c>
      <c r="T66" s="9">
        <f>N66/1000</f>
        <v>77.985571399999998</v>
      </c>
      <c r="U66" s="14">
        <f>T66+L66</f>
        <v>198.43557140000001</v>
      </c>
      <c r="V66" s="16">
        <v>10400</v>
      </c>
    </row>
    <row r="67" spans="1:22" x14ac:dyDescent="0.25">
      <c r="A67" s="4">
        <v>20250803</v>
      </c>
      <c r="B67" s="4">
        <v>18</v>
      </c>
      <c r="C67" s="4">
        <v>6820.4939999999997</v>
      </c>
      <c r="D67" s="4">
        <v>7999.1719999999996</v>
      </c>
      <c r="E67" s="5">
        <f t="shared" ref="E67:E130" si="11">SUM(C67:D67)</f>
        <v>14819.665999999999</v>
      </c>
      <c r="F67" s="5">
        <v>0.2</v>
      </c>
      <c r="G67" s="6">
        <v>8.0000000000000071E-2</v>
      </c>
      <c r="H67" s="5">
        <f t="shared" si="8"/>
        <v>2.222222222222224E-2</v>
      </c>
      <c r="I67" s="7">
        <v>557033.18729999999</v>
      </c>
      <c r="J67" s="7">
        <f t="shared" ref="J67:J130" si="12">F67*I67*H67</f>
        <v>2475.7030546666688</v>
      </c>
      <c r="K67" s="7">
        <f t="shared" ref="K67:K130" si="13">J67-E67</f>
        <v>-12343.962945333331</v>
      </c>
      <c r="L67" s="8">
        <v>120.51</v>
      </c>
      <c r="M67" s="5">
        <f t="shared" si="10"/>
        <v>2.4757030546666687</v>
      </c>
      <c r="N67" s="5">
        <v>77985.571400000001</v>
      </c>
      <c r="O67" s="5">
        <f t="shared" ref="O67:O130" si="14">M67*N67</f>
        <v>193069.1173349056</v>
      </c>
      <c r="P67" s="7">
        <f>(L67+T67)*MAX(0, K67)</f>
        <v>0</v>
      </c>
      <c r="Q67" s="7">
        <f t="shared" ref="Q67:Q130" si="15">L67*MAX(0, K67)</f>
        <v>0</v>
      </c>
      <c r="R67" s="11">
        <f>P67-Q67</f>
        <v>0</v>
      </c>
      <c r="S67" s="11">
        <f t="shared" ref="S67:S130" si="16">M67*N67/MAX(0.1, J67)</f>
        <v>77.985571399999998</v>
      </c>
      <c r="T67" s="9">
        <f>N67/1000</f>
        <v>77.985571399999998</v>
      </c>
      <c r="U67" s="14">
        <f>T67+L67</f>
        <v>198.49557140000002</v>
      </c>
      <c r="V67" s="16">
        <v>10400</v>
      </c>
    </row>
    <row r="68" spans="1:22" x14ac:dyDescent="0.25">
      <c r="A68" s="4">
        <v>20250803</v>
      </c>
      <c r="B68" s="4">
        <v>19</v>
      </c>
      <c r="C68" s="4">
        <v>7069.07</v>
      </c>
      <c r="D68" s="4">
        <v>7847.2150000000001</v>
      </c>
      <c r="E68" s="5">
        <f t="shared" si="11"/>
        <v>14916.285</v>
      </c>
      <c r="F68" s="5">
        <v>0.2</v>
      </c>
      <c r="G68" s="6">
        <v>4.9999999999999822E-2</v>
      </c>
      <c r="H68" s="5">
        <f t="shared" si="8"/>
        <v>1.388888888888884E-2</v>
      </c>
      <c r="I68" s="7">
        <v>557033.18729999999</v>
      </c>
      <c r="J68" s="7">
        <f t="shared" si="12"/>
        <v>1547.3144091666611</v>
      </c>
      <c r="K68" s="7">
        <f t="shared" si="13"/>
        <v>-13368.970590833338</v>
      </c>
      <c r="L68" s="8">
        <v>139.25</v>
      </c>
      <c r="M68" s="5">
        <f t="shared" si="10"/>
        <v>1.5473144091666611</v>
      </c>
      <c r="N68" s="5">
        <v>77985.571400000001</v>
      </c>
      <c r="O68" s="5">
        <f t="shared" si="14"/>
        <v>120668.19833431546</v>
      </c>
      <c r="P68" s="7">
        <f>(L68+T68)*MAX(0, K68)</f>
        <v>0</v>
      </c>
      <c r="Q68" s="7">
        <f t="shared" si="15"/>
        <v>0</v>
      </c>
      <c r="R68" s="11">
        <f>P68-Q68</f>
        <v>0</v>
      </c>
      <c r="S68" s="11">
        <f t="shared" si="16"/>
        <v>77.985571399999998</v>
      </c>
      <c r="T68" s="9">
        <f>N68/1000</f>
        <v>77.985571399999998</v>
      </c>
      <c r="U68" s="14">
        <f>T68+L68</f>
        <v>217.2355714</v>
      </c>
      <c r="V68" s="16">
        <v>10400</v>
      </c>
    </row>
    <row r="69" spans="1:22" x14ac:dyDescent="0.25">
      <c r="A69" s="4">
        <v>20250803</v>
      </c>
      <c r="B69" s="4">
        <v>20</v>
      </c>
      <c r="C69" s="4">
        <v>7221.74</v>
      </c>
      <c r="D69" s="4">
        <v>7735.4210000000003</v>
      </c>
      <c r="E69" s="5">
        <f t="shared" si="11"/>
        <v>14957.161</v>
      </c>
      <c r="F69" s="5">
        <v>0.2</v>
      </c>
      <c r="G69" s="6">
        <v>0.12999999999999989</v>
      </c>
      <c r="H69" s="5">
        <f t="shared" si="8"/>
        <v>3.611111111111108E-2</v>
      </c>
      <c r="I69" s="7">
        <v>557033.18729999999</v>
      </c>
      <c r="J69" s="7">
        <f t="shared" si="12"/>
        <v>4023.0174638333297</v>
      </c>
      <c r="K69" s="7">
        <f t="shared" si="13"/>
        <v>-10934.14353616667</v>
      </c>
      <c r="L69" s="8">
        <v>132.62</v>
      </c>
      <c r="M69" s="5">
        <f t="shared" si="10"/>
        <v>4.0230174638333294</v>
      </c>
      <c r="N69" s="5">
        <v>77985.571400000001</v>
      </c>
      <c r="O69" s="5">
        <f t="shared" si="14"/>
        <v>313737.31566922105</v>
      </c>
      <c r="P69" s="7">
        <f>(L69+T69)*MAX(0, K69)</f>
        <v>0</v>
      </c>
      <c r="Q69" s="7">
        <f t="shared" si="15"/>
        <v>0</v>
      </c>
      <c r="R69" s="11">
        <f>P69-Q69</f>
        <v>0</v>
      </c>
      <c r="S69" s="11">
        <f t="shared" si="16"/>
        <v>77.985571399999998</v>
      </c>
      <c r="T69" s="9">
        <f>N69/1000</f>
        <v>77.985571399999998</v>
      </c>
      <c r="U69" s="14">
        <f>T69+L69</f>
        <v>210.6055714</v>
      </c>
      <c r="V69" s="16">
        <v>10400</v>
      </c>
    </row>
    <row r="70" spans="1:22" x14ac:dyDescent="0.25">
      <c r="A70" s="4">
        <v>20250803</v>
      </c>
      <c r="B70" s="4">
        <v>21</v>
      </c>
      <c r="C70" s="4">
        <v>6891.4390000000003</v>
      </c>
      <c r="D70" s="4">
        <v>7595.5540000000001</v>
      </c>
      <c r="E70" s="5">
        <f t="shared" si="11"/>
        <v>14486.993</v>
      </c>
      <c r="F70" s="5">
        <v>0.2</v>
      </c>
      <c r="G70" s="6">
        <v>2.0000000000000458E-2</v>
      </c>
      <c r="H70" s="5">
        <f t="shared" si="8"/>
        <v>5.5555555555556824E-3</v>
      </c>
      <c r="I70" s="7">
        <v>557033.18729999999</v>
      </c>
      <c r="J70" s="7">
        <f t="shared" si="12"/>
        <v>618.92576366668084</v>
      </c>
      <c r="K70" s="7">
        <f t="shared" si="13"/>
        <v>-13868.06723633332</v>
      </c>
      <c r="L70" s="8">
        <v>132</v>
      </c>
      <c r="M70" s="5">
        <f t="shared" si="10"/>
        <v>0.61892576366668084</v>
      </c>
      <c r="N70" s="5">
        <v>77985.571400000001</v>
      </c>
      <c r="O70" s="5">
        <f t="shared" si="14"/>
        <v>48267.279333727463</v>
      </c>
      <c r="P70" s="7">
        <f>(L70+T70)*MAX(0, K70)</f>
        <v>0</v>
      </c>
      <c r="Q70" s="7">
        <f t="shared" si="15"/>
        <v>0</v>
      </c>
      <c r="R70" s="11">
        <f>P70-Q70</f>
        <v>0</v>
      </c>
      <c r="S70" s="11">
        <f t="shared" si="16"/>
        <v>77.985571399999998</v>
      </c>
      <c r="T70" s="9">
        <f>N70/1000</f>
        <v>77.985571399999998</v>
      </c>
      <c r="U70" s="14">
        <f>T70+L70</f>
        <v>209.9855714</v>
      </c>
      <c r="V70" s="16">
        <v>10400</v>
      </c>
    </row>
    <row r="71" spans="1:22" x14ac:dyDescent="0.25">
      <c r="A71" s="4">
        <v>20250803</v>
      </c>
      <c r="B71" s="4">
        <v>22</v>
      </c>
      <c r="C71" s="4">
        <v>6435.6350000000002</v>
      </c>
      <c r="D71" s="4">
        <v>7522.0619999999999</v>
      </c>
      <c r="E71" s="5">
        <f t="shared" si="11"/>
        <v>13957.697</v>
      </c>
      <c r="F71" s="5">
        <v>0.2</v>
      </c>
      <c r="G71" s="6">
        <v>0</v>
      </c>
      <c r="H71" s="5">
        <f t="shared" si="8"/>
        <v>0</v>
      </c>
      <c r="I71" s="7">
        <v>557033.18729999999</v>
      </c>
      <c r="J71" s="7">
        <f t="shared" si="12"/>
        <v>0</v>
      </c>
      <c r="K71" s="7">
        <f t="shared" si="13"/>
        <v>-13957.697</v>
      </c>
      <c r="L71" s="8">
        <v>122.38</v>
      </c>
      <c r="M71" s="5">
        <f t="shared" si="10"/>
        <v>0</v>
      </c>
      <c r="N71" s="5">
        <v>77985.571400000001</v>
      </c>
      <c r="O71" s="5">
        <f t="shared" si="14"/>
        <v>0</v>
      </c>
      <c r="P71" s="7">
        <f>(L71+T71)*MAX(0, K71)</f>
        <v>0</v>
      </c>
      <c r="Q71" s="7">
        <f t="shared" si="15"/>
        <v>0</v>
      </c>
      <c r="R71" s="11">
        <f>P71-Q71</f>
        <v>0</v>
      </c>
      <c r="S71" s="11">
        <f t="shared" si="16"/>
        <v>0</v>
      </c>
      <c r="T71" s="9">
        <f>N71/1000</f>
        <v>77.985571399999998</v>
      </c>
      <c r="U71" s="14">
        <f>T71+L71</f>
        <v>200.36557139999999</v>
      </c>
      <c r="V71" s="16">
        <v>10400</v>
      </c>
    </row>
    <row r="72" spans="1:22" x14ac:dyDescent="0.25">
      <c r="A72" s="4">
        <v>20250803</v>
      </c>
      <c r="B72" s="4">
        <v>23</v>
      </c>
      <c r="C72" s="4">
        <v>5975.8429999999998</v>
      </c>
      <c r="D72" s="4">
        <v>7493.8810000000003</v>
      </c>
      <c r="E72" s="5">
        <f t="shared" si="11"/>
        <v>13469.724</v>
      </c>
      <c r="F72" s="5">
        <v>0.2</v>
      </c>
      <c r="G72" s="6">
        <v>0</v>
      </c>
      <c r="H72" s="5">
        <f t="shared" si="8"/>
        <v>0</v>
      </c>
      <c r="I72" s="7">
        <v>557033.18729999999</v>
      </c>
      <c r="J72" s="7">
        <f t="shared" si="12"/>
        <v>0</v>
      </c>
      <c r="K72" s="7">
        <f t="shared" si="13"/>
        <v>-13469.724</v>
      </c>
      <c r="L72" s="8">
        <v>156.78</v>
      </c>
      <c r="M72" s="5">
        <f t="shared" si="10"/>
        <v>0</v>
      </c>
      <c r="N72" s="5">
        <v>77985.571400000001</v>
      </c>
      <c r="O72" s="5">
        <f t="shared" si="14"/>
        <v>0</v>
      </c>
      <c r="P72" s="7">
        <f>(L72+T72)*MAX(0, K72)</f>
        <v>0</v>
      </c>
      <c r="Q72" s="7">
        <f t="shared" si="15"/>
        <v>0</v>
      </c>
      <c r="R72" s="11">
        <f>P72-Q72</f>
        <v>0</v>
      </c>
      <c r="S72" s="11">
        <f t="shared" si="16"/>
        <v>0</v>
      </c>
      <c r="T72" s="9">
        <f>N72/1000</f>
        <v>77.985571399999998</v>
      </c>
      <c r="U72" s="14">
        <f>T72+L72</f>
        <v>234.7655714</v>
      </c>
      <c r="V72" s="16">
        <v>10400</v>
      </c>
    </row>
    <row r="73" spans="1:22" x14ac:dyDescent="0.25">
      <c r="A73" s="4">
        <v>20250803</v>
      </c>
      <c r="B73" s="4">
        <v>24</v>
      </c>
      <c r="C73" s="4">
        <v>5216.2309999999998</v>
      </c>
      <c r="D73" s="4">
        <v>7522.3040000000001</v>
      </c>
      <c r="E73" s="5">
        <f t="shared" si="11"/>
        <v>12738.535</v>
      </c>
      <c r="F73" s="5">
        <v>0.2</v>
      </c>
      <c r="G73" s="6">
        <v>0</v>
      </c>
      <c r="H73" s="5">
        <f t="shared" si="8"/>
        <v>0</v>
      </c>
      <c r="I73" s="7">
        <v>557033.18729999999</v>
      </c>
      <c r="J73" s="7">
        <f t="shared" si="12"/>
        <v>0</v>
      </c>
      <c r="K73" s="7">
        <f t="shared" si="13"/>
        <v>-12738.535</v>
      </c>
      <c r="L73" s="8">
        <v>117.41</v>
      </c>
      <c r="M73" s="5">
        <f t="shared" si="10"/>
        <v>0</v>
      </c>
      <c r="N73" s="5">
        <v>77985.571400000001</v>
      </c>
      <c r="O73" s="5">
        <f t="shared" si="14"/>
        <v>0</v>
      </c>
      <c r="P73" s="7">
        <f>(L73+T73)*MAX(0, K73)</f>
        <v>0</v>
      </c>
      <c r="Q73" s="7">
        <f t="shared" si="15"/>
        <v>0</v>
      </c>
      <c r="R73" s="11">
        <f>P73-Q73</f>
        <v>0</v>
      </c>
      <c r="S73" s="11">
        <f t="shared" si="16"/>
        <v>0</v>
      </c>
      <c r="T73" s="9">
        <f>N73/1000</f>
        <v>77.985571399999998</v>
      </c>
      <c r="U73" s="14">
        <f>T73+L73</f>
        <v>195.39557139999999</v>
      </c>
      <c r="V73" s="16">
        <v>10400</v>
      </c>
    </row>
    <row r="74" spans="1:22" x14ac:dyDescent="0.25">
      <c r="A74" s="4">
        <v>20250804</v>
      </c>
      <c r="B74" s="4">
        <v>1</v>
      </c>
      <c r="C74" s="4">
        <v>4541.1980000000003</v>
      </c>
      <c r="D74" s="4">
        <v>7484.8040000000001</v>
      </c>
      <c r="E74" s="5">
        <f t="shared" si="11"/>
        <v>12026.002</v>
      </c>
      <c r="F74" s="5">
        <v>0.2</v>
      </c>
      <c r="G74" s="6">
        <v>0</v>
      </c>
      <c r="H74" s="5">
        <f t="shared" si="8"/>
        <v>0</v>
      </c>
      <c r="I74" s="7">
        <v>557033.18729999999</v>
      </c>
      <c r="J74" s="7">
        <f t="shared" si="12"/>
        <v>0</v>
      </c>
      <c r="K74" s="7">
        <f t="shared" si="13"/>
        <v>-12026.002</v>
      </c>
      <c r="L74" s="8">
        <v>116.43</v>
      </c>
      <c r="M74" s="5">
        <f t="shared" si="10"/>
        <v>0</v>
      </c>
      <c r="N74" s="5">
        <v>77999.857099999994</v>
      </c>
      <c r="O74" s="5">
        <f t="shared" si="14"/>
        <v>0</v>
      </c>
      <c r="P74" s="7">
        <f>(L74+T74)*MAX(0, K74)</f>
        <v>0</v>
      </c>
      <c r="Q74" s="7">
        <f t="shared" si="15"/>
        <v>0</v>
      </c>
      <c r="R74" s="11">
        <f>P74-Q74</f>
        <v>0</v>
      </c>
      <c r="S74" s="11">
        <f t="shared" si="16"/>
        <v>0</v>
      </c>
      <c r="T74" s="9">
        <f>N74/1000</f>
        <v>77.9998571</v>
      </c>
      <c r="U74" s="14">
        <f>T74+L74</f>
        <v>194.42985709999999</v>
      </c>
      <c r="V74" s="16">
        <v>10400</v>
      </c>
    </row>
    <row r="75" spans="1:22" x14ac:dyDescent="0.25">
      <c r="A75" s="4">
        <v>20250804</v>
      </c>
      <c r="B75" s="4">
        <v>2</v>
      </c>
      <c r="C75" s="4">
        <v>3997.25</v>
      </c>
      <c r="D75" s="4">
        <v>7501.5389999999998</v>
      </c>
      <c r="E75" s="5">
        <f t="shared" si="11"/>
        <v>11498.789000000001</v>
      </c>
      <c r="F75" s="5">
        <v>0.2</v>
      </c>
      <c r="G75" s="6">
        <v>0</v>
      </c>
      <c r="H75" s="5">
        <f t="shared" ref="H75:H138" si="17">G75/3.6</f>
        <v>0</v>
      </c>
      <c r="I75" s="7">
        <v>557033.18729999999</v>
      </c>
      <c r="J75" s="7">
        <f t="shared" si="12"/>
        <v>0</v>
      </c>
      <c r="K75" s="7">
        <f t="shared" si="13"/>
        <v>-11498.789000000001</v>
      </c>
      <c r="L75" s="8">
        <v>114.79</v>
      </c>
      <c r="M75" s="5">
        <f t="shared" si="10"/>
        <v>0</v>
      </c>
      <c r="N75" s="5">
        <v>77999.857099999994</v>
      </c>
      <c r="O75" s="5">
        <f t="shared" si="14"/>
        <v>0</v>
      </c>
      <c r="P75" s="7">
        <f>(L75+T75)*MAX(0, K75)</f>
        <v>0</v>
      </c>
      <c r="Q75" s="7">
        <f t="shared" si="15"/>
        <v>0</v>
      </c>
      <c r="R75" s="11">
        <f>P75-Q75</f>
        <v>0</v>
      </c>
      <c r="S75" s="11">
        <f t="shared" si="16"/>
        <v>0</v>
      </c>
      <c r="T75" s="9">
        <f>N75/1000</f>
        <v>77.9998571</v>
      </c>
      <c r="U75" s="14">
        <f>T75+L75</f>
        <v>192.78985710000001</v>
      </c>
      <c r="V75" s="16">
        <v>10400</v>
      </c>
    </row>
    <row r="76" spans="1:22" x14ac:dyDescent="0.25">
      <c r="A76" s="4">
        <v>20250804</v>
      </c>
      <c r="B76" s="4">
        <v>3</v>
      </c>
      <c r="C76" s="4">
        <v>3714.3820000000001</v>
      </c>
      <c r="D76" s="4">
        <v>7509.3490000000002</v>
      </c>
      <c r="E76" s="5">
        <f t="shared" si="11"/>
        <v>11223.731</v>
      </c>
      <c r="F76" s="5">
        <v>0.2</v>
      </c>
      <c r="G76" s="6">
        <v>0</v>
      </c>
      <c r="H76" s="5">
        <f t="shared" si="17"/>
        <v>0</v>
      </c>
      <c r="I76" s="7">
        <v>557033.18729999999</v>
      </c>
      <c r="J76" s="7">
        <f t="shared" si="12"/>
        <v>0</v>
      </c>
      <c r="K76" s="7">
        <f t="shared" si="13"/>
        <v>-11223.731</v>
      </c>
      <c r="L76" s="8">
        <v>112.95</v>
      </c>
      <c r="M76" s="5">
        <f t="shared" si="10"/>
        <v>0</v>
      </c>
      <c r="N76" s="5">
        <v>77999.857099999994</v>
      </c>
      <c r="O76" s="5">
        <f t="shared" si="14"/>
        <v>0</v>
      </c>
      <c r="P76" s="7">
        <f>(L76+T76)*MAX(0, K76)</f>
        <v>0</v>
      </c>
      <c r="Q76" s="7">
        <f t="shared" si="15"/>
        <v>0</v>
      </c>
      <c r="R76" s="11">
        <f>P76-Q76</f>
        <v>0</v>
      </c>
      <c r="S76" s="11">
        <f t="shared" si="16"/>
        <v>0</v>
      </c>
      <c r="T76" s="9">
        <f>N76/1000</f>
        <v>77.9998571</v>
      </c>
      <c r="U76" s="14">
        <f>T76+L76</f>
        <v>190.9498571</v>
      </c>
      <c r="V76" s="16">
        <v>10400</v>
      </c>
    </row>
    <row r="77" spans="1:22" x14ac:dyDescent="0.25">
      <c r="A77" s="4">
        <v>20250804</v>
      </c>
      <c r="B77" s="4">
        <v>4</v>
      </c>
      <c r="C77" s="4">
        <v>3504.82</v>
      </c>
      <c r="D77" s="4">
        <v>7494.2460000000001</v>
      </c>
      <c r="E77" s="5">
        <f t="shared" si="11"/>
        <v>10999.066000000001</v>
      </c>
      <c r="F77" s="5">
        <v>0.2</v>
      </c>
      <c r="G77" s="6">
        <v>0</v>
      </c>
      <c r="H77" s="5">
        <f t="shared" si="17"/>
        <v>0</v>
      </c>
      <c r="I77" s="7">
        <v>557033.18729999999</v>
      </c>
      <c r="J77" s="7">
        <f t="shared" si="12"/>
        <v>0</v>
      </c>
      <c r="K77" s="7">
        <f t="shared" si="13"/>
        <v>-10999.066000000001</v>
      </c>
      <c r="L77" s="8">
        <v>107.44</v>
      </c>
      <c r="M77" s="5">
        <f t="shared" si="10"/>
        <v>0</v>
      </c>
      <c r="N77" s="5">
        <v>77999.857099999994</v>
      </c>
      <c r="O77" s="5">
        <f t="shared" si="14"/>
        <v>0</v>
      </c>
      <c r="P77" s="7">
        <f>(L77+T77)*MAX(0, K77)</f>
        <v>0</v>
      </c>
      <c r="Q77" s="7">
        <f t="shared" si="15"/>
        <v>0</v>
      </c>
      <c r="R77" s="11">
        <f>P77-Q77</f>
        <v>0</v>
      </c>
      <c r="S77" s="11">
        <f t="shared" si="16"/>
        <v>0</v>
      </c>
      <c r="T77" s="9">
        <f>N77/1000</f>
        <v>77.9998571</v>
      </c>
      <c r="U77" s="14">
        <f>T77+L77</f>
        <v>185.43985709999998</v>
      </c>
      <c r="V77" s="16">
        <v>10400</v>
      </c>
    </row>
    <row r="78" spans="1:22" x14ac:dyDescent="0.25">
      <c r="A78" s="4">
        <v>20250804</v>
      </c>
      <c r="B78" s="4">
        <v>5</v>
      </c>
      <c r="C78" s="4">
        <v>3396.8589999999999</v>
      </c>
      <c r="D78" s="4">
        <v>7512.1840000000002</v>
      </c>
      <c r="E78" s="5">
        <f t="shared" si="11"/>
        <v>10909.043</v>
      </c>
      <c r="F78" s="5">
        <v>0.2</v>
      </c>
      <c r="G78" s="6">
        <v>0</v>
      </c>
      <c r="H78" s="5">
        <f t="shared" si="17"/>
        <v>0</v>
      </c>
      <c r="I78" s="7">
        <v>557033.18729999999</v>
      </c>
      <c r="J78" s="7">
        <f t="shared" si="12"/>
        <v>0</v>
      </c>
      <c r="K78" s="7">
        <f t="shared" si="13"/>
        <v>-10909.043</v>
      </c>
      <c r="L78" s="8">
        <v>88.57</v>
      </c>
      <c r="M78" s="5">
        <f t="shared" si="10"/>
        <v>0</v>
      </c>
      <c r="N78" s="5">
        <v>77999.857099999994</v>
      </c>
      <c r="O78" s="5">
        <f t="shared" si="14"/>
        <v>0</v>
      </c>
      <c r="P78" s="7">
        <f>(L78+T78)*MAX(0, K78)</f>
        <v>0</v>
      </c>
      <c r="Q78" s="7">
        <f t="shared" si="15"/>
        <v>0</v>
      </c>
      <c r="R78" s="11">
        <f>P78-Q78</f>
        <v>0</v>
      </c>
      <c r="S78" s="11">
        <f t="shared" si="16"/>
        <v>0</v>
      </c>
      <c r="T78" s="9">
        <f>N78/1000</f>
        <v>77.9998571</v>
      </c>
      <c r="U78" s="14">
        <f>T78+L78</f>
        <v>166.56985709999998</v>
      </c>
      <c r="V78" s="16">
        <v>10400</v>
      </c>
    </row>
    <row r="79" spans="1:22" x14ac:dyDescent="0.25">
      <c r="A79" s="4">
        <v>20250804</v>
      </c>
      <c r="B79" s="4">
        <v>6</v>
      </c>
      <c r="C79" s="4">
        <v>3429.8530000000001</v>
      </c>
      <c r="D79" s="4">
        <v>7770.6490000000003</v>
      </c>
      <c r="E79" s="5">
        <f t="shared" si="11"/>
        <v>11200.502</v>
      </c>
      <c r="F79" s="5">
        <v>0.2</v>
      </c>
      <c r="G79" s="6">
        <v>0</v>
      </c>
      <c r="H79" s="5">
        <f t="shared" si="17"/>
        <v>0</v>
      </c>
      <c r="I79" s="7">
        <v>557033.18729999999</v>
      </c>
      <c r="J79" s="7">
        <f t="shared" si="12"/>
        <v>0</v>
      </c>
      <c r="K79" s="7">
        <f t="shared" si="13"/>
        <v>-11200.502</v>
      </c>
      <c r="L79" s="8">
        <v>107.44</v>
      </c>
      <c r="M79" s="5">
        <f t="shared" si="10"/>
        <v>0</v>
      </c>
      <c r="N79" s="5">
        <v>77999.857099999994</v>
      </c>
      <c r="O79" s="5">
        <f t="shared" si="14"/>
        <v>0</v>
      </c>
      <c r="P79" s="7">
        <f>(L79+T79)*MAX(0, K79)</f>
        <v>0</v>
      </c>
      <c r="Q79" s="7">
        <f t="shared" si="15"/>
        <v>0</v>
      </c>
      <c r="R79" s="11">
        <f>P79-Q79</f>
        <v>0</v>
      </c>
      <c r="S79" s="11">
        <f t="shared" si="16"/>
        <v>0</v>
      </c>
      <c r="T79" s="9">
        <f>N79/1000</f>
        <v>77.9998571</v>
      </c>
      <c r="U79" s="14">
        <f>T79+L79</f>
        <v>185.43985709999998</v>
      </c>
      <c r="V79" s="16">
        <v>10400</v>
      </c>
    </row>
    <row r="80" spans="1:22" x14ac:dyDescent="0.25">
      <c r="A80" s="4">
        <v>20250804</v>
      </c>
      <c r="B80" s="4">
        <v>7</v>
      </c>
      <c r="C80" s="4">
        <v>3702.5219999999999</v>
      </c>
      <c r="D80" s="4">
        <v>8735.9979999999996</v>
      </c>
      <c r="E80" s="5">
        <f t="shared" si="11"/>
        <v>12438.52</v>
      </c>
      <c r="F80" s="5">
        <v>0.2</v>
      </c>
      <c r="G80" s="6">
        <v>0</v>
      </c>
      <c r="H80" s="5">
        <f t="shared" si="17"/>
        <v>0</v>
      </c>
      <c r="I80" s="7">
        <v>557033.18729999999</v>
      </c>
      <c r="J80" s="7">
        <f t="shared" si="12"/>
        <v>0</v>
      </c>
      <c r="K80" s="7">
        <f t="shared" si="13"/>
        <v>-12438.52</v>
      </c>
      <c r="L80" s="8">
        <v>118.82</v>
      </c>
      <c r="M80" s="5">
        <f t="shared" si="10"/>
        <v>0</v>
      </c>
      <c r="N80" s="5">
        <v>77999.857099999994</v>
      </c>
      <c r="O80" s="5">
        <f t="shared" si="14"/>
        <v>0</v>
      </c>
      <c r="P80" s="7">
        <f>(L80+T80)*MAX(0, K80)</f>
        <v>0</v>
      </c>
      <c r="Q80" s="7">
        <f t="shared" si="15"/>
        <v>0</v>
      </c>
      <c r="R80" s="11">
        <f>P80-Q80</f>
        <v>0</v>
      </c>
      <c r="S80" s="11">
        <f t="shared" si="16"/>
        <v>0</v>
      </c>
      <c r="T80" s="9">
        <f>N80/1000</f>
        <v>77.9998571</v>
      </c>
      <c r="U80" s="14">
        <f>T80+L80</f>
        <v>196.81985709999998</v>
      </c>
      <c r="V80" s="16">
        <v>10400</v>
      </c>
    </row>
    <row r="81" spans="1:22" x14ac:dyDescent="0.25">
      <c r="A81" s="4">
        <v>20250804</v>
      </c>
      <c r="B81" s="4">
        <v>8</v>
      </c>
      <c r="C81" s="4">
        <v>4121.1959999999999</v>
      </c>
      <c r="D81" s="4">
        <v>10957.005999999999</v>
      </c>
      <c r="E81" s="5">
        <f t="shared" si="11"/>
        <v>15078.201999999999</v>
      </c>
      <c r="F81" s="5">
        <v>0.2</v>
      </c>
      <c r="G81" s="6">
        <v>0.03</v>
      </c>
      <c r="H81" s="5">
        <f t="shared" si="17"/>
        <v>8.3333333333333332E-3</v>
      </c>
      <c r="I81" s="7">
        <v>557033.18729999999</v>
      </c>
      <c r="J81" s="7">
        <f t="shared" si="12"/>
        <v>928.38864549999994</v>
      </c>
      <c r="K81" s="7">
        <f t="shared" si="13"/>
        <v>-14149.8133545</v>
      </c>
      <c r="L81" s="8">
        <v>118.82</v>
      </c>
      <c r="M81" s="5">
        <f t="shared" si="10"/>
        <v>0.92838864549999989</v>
      </c>
      <c r="N81" s="5">
        <v>77999.857099999994</v>
      </c>
      <c r="O81" s="5">
        <f t="shared" si="14"/>
        <v>72414.181682262541</v>
      </c>
      <c r="P81" s="7">
        <f>(L81+T81)*MAX(0, K81)</f>
        <v>0</v>
      </c>
      <c r="Q81" s="7">
        <f t="shared" si="15"/>
        <v>0</v>
      </c>
      <c r="R81" s="11">
        <f>P81-Q81</f>
        <v>0</v>
      </c>
      <c r="S81" s="11">
        <f t="shared" si="16"/>
        <v>77.999857099999986</v>
      </c>
      <c r="T81" s="9">
        <f>N81/1000</f>
        <v>77.9998571</v>
      </c>
      <c r="U81" s="14">
        <f>T81+L81</f>
        <v>196.81985709999998</v>
      </c>
      <c r="V81" s="16">
        <v>10400</v>
      </c>
    </row>
    <row r="82" spans="1:22" x14ac:dyDescent="0.25">
      <c r="A82" s="4">
        <v>20250804</v>
      </c>
      <c r="B82" s="4">
        <v>9</v>
      </c>
      <c r="C82" s="4">
        <v>4433.826</v>
      </c>
      <c r="D82" s="4">
        <v>13524.51</v>
      </c>
      <c r="E82" s="5">
        <f t="shared" si="11"/>
        <v>17958.335999999999</v>
      </c>
      <c r="F82" s="5">
        <v>0.2</v>
      </c>
      <c r="G82" s="6">
        <v>0.22</v>
      </c>
      <c r="H82" s="5">
        <f t="shared" si="17"/>
        <v>6.1111111111111109E-2</v>
      </c>
      <c r="I82" s="7">
        <v>557033.18729999999</v>
      </c>
      <c r="J82" s="7">
        <f t="shared" si="12"/>
        <v>6808.1834003333333</v>
      </c>
      <c r="K82" s="7">
        <f t="shared" si="13"/>
        <v>-11150.152599666666</v>
      </c>
      <c r="L82" s="8">
        <v>119.09</v>
      </c>
      <c r="M82" s="5">
        <f t="shared" si="10"/>
        <v>6.8081834003333332</v>
      </c>
      <c r="N82" s="5">
        <v>77999.857099999994</v>
      </c>
      <c r="O82" s="5">
        <f t="shared" si="14"/>
        <v>531037.33233659202</v>
      </c>
      <c r="P82" s="7">
        <f>(L82+T82)*MAX(0, K82)</f>
        <v>0</v>
      </c>
      <c r="Q82" s="7">
        <f t="shared" si="15"/>
        <v>0</v>
      </c>
      <c r="R82" s="11">
        <f>P82-Q82</f>
        <v>0</v>
      </c>
      <c r="S82" s="11">
        <f t="shared" si="16"/>
        <v>77.999857099999986</v>
      </c>
      <c r="T82" s="9">
        <f>N82/1000</f>
        <v>77.9998571</v>
      </c>
      <c r="U82" s="14">
        <f>T82+L82</f>
        <v>197.08985710000002</v>
      </c>
      <c r="V82" s="16">
        <v>10400</v>
      </c>
    </row>
    <row r="83" spans="1:22" x14ac:dyDescent="0.25">
      <c r="A83" s="4">
        <v>20250804</v>
      </c>
      <c r="B83" s="4">
        <v>10</v>
      </c>
      <c r="C83" s="4">
        <v>4679.6229999999996</v>
      </c>
      <c r="D83" s="4">
        <v>15279.873</v>
      </c>
      <c r="E83" s="5">
        <f t="shared" si="11"/>
        <v>19959.495999999999</v>
      </c>
      <c r="F83" s="5">
        <v>0.2</v>
      </c>
      <c r="G83" s="6">
        <v>0.59</v>
      </c>
      <c r="H83" s="5">
        <f t="shared" si="17"/>
        <v>0.16388888888888889</v>
      </c>
      <c r="I83" s="7">
        <v>557033.18729999999</v>
      </c>
      <c r="J83" s="7">
        <f t="shared" si="12"/>
        <v>18258.310028166667</v>
      </c>
      <c r="K83" s="7">
        <f t="shared" si="13"/>
        <v>-1701.1859718333326</v>
      </c>
      <c r="L83" s="8">
        <v>120.23</v>
      </c>
      <c r="M83" s="5">
        <f t="shared" si="10"/>
        <v>18.258310028166665</v>
      </c>
      <c r="N83" s="5">
        <v>77999.857099999994</v>
      </c>
      <c r="O83" s="5">
        <f t="shared" si="14"/>
        <v>1424145.5730844967</v>
      </c>
      <c r="P83" s="7">
        <f>(L83+T83)*MAX(0, K83)</f>
        <v>0</v>
      </c>
      <c r="Q83" s="7">
        <f t="shared" si="15"/>
        <v>0</v>
      </c>
      <c r="R83" s="11">
        <f>P83-Q83</f>
        <v>0</v>
      </c>
      <c r="S83" s="11">
        <f t="shared" si="16"/>
        <v>77.999857099999986</v>
      </c>
      <c r="T83" s="9">
        <f>N83/1000</f>
        <v>77.9998571</v>
      </c>
      <c r="U83" s="14">
        <f>T83+L83</f>
        <v>198.2298571</v>
      </c>
      <c r="V83" s="16">
        <v>10400</v>
      </c>
    </row>
    <row r="84" spans="1:22" x14ac:dyDescent="0.25">
      <c r="A84" s="4">
        <v>20250804</v>
      </c>
      <c r="B84" s="4">
        <v>11</v>
      </c>
      <c r="C84" s="4">
        <v>4791.5529999999999</v>
      </c>
      <c r="D84" s="4">
        <v>15668.919</v>
      </c>
      <c r="E84" s="5">
        <f t="shared" si="11"/>
        <v>20460.472000000002</v>
      </c>
      <c r="F84" s="5">
        <v>0.2</v>
      </c>
      <c r="G84" s="6">
        <v>0.78000000000000014</v>
      </c>
      <c r="H84" s="5">
        <f t="shared" si="17"/>
        <v>0.2166666666666667</v>
      </c>
      <c r="I84" s="7">
        <v>557033.18729999999</v>
      </c>
      <c r="J84" s="7">
        <f t="shared" si="12"/>
        <v>24138.104783000002</v>
      </c>
      <c r="K84" s="7">
        <f t="shared" si="13"/>
        <v>3677.6327830000009</v>
      </c>
      <c r="L84" s="8">
        <v>150.33000000000001</v>
      </c>
      <c r="M84" s="5">
        <f t="shared" si="10"/>
        <v>24.138104783000003</v>
      </c>
      <c r="N84" s="5">
        <v>77999.857099999994</v>
      </c>
      <c r="O84" s="5">
        <f t="shared" si="14"/>
        <v>1882768.7237388266</v>
      </c>
      <c r="P84" s="7">
        <f>(L84+T84)*MAX(0, K84)</f>
        <v>839713.36780866561</v>
      </c>
      <c r="Q84" s="7">
        <f t="shared" si="15"/>
        <v>552858.53626839013</v>
      </c>
      <c r="R84" s="11">
        <f>P84-Q84</f>
        <v>286854.83154027548</v>
      </c>
      <c r="S84" s="11">
        <f t="shared" si="16"/>
        <v>77.9998571</v>
      </c>
      <c r="T84" s="9">
        <f>N84/1000</f>
        <v>77.9998571</v>
      </c>
      <c r="U84" s="14">
        <f>T84+L84</f>
        <v>228.32985710000003</v>
      </c>
      <c r="V84" s="16">
        <v>10400</v>
      </c>
    </row>
    <row r="85" spans="1:22" x14ac:dyDescent="0.25">
      <c r="A85" s="4">
        <v>20250804</v>
      </c>
      <c r="B85" s="4">
        <v>12</v>
      </c>
      <c r="C85" s="4">
        <v>5170.6850000000004</v>
      </c>
      <c r="D85" s="4">
        <v>15640.790999999999</v>
      </c>
      <c r="E85" s="5">
        <f t="shared" si="11"/>
        <v>20811.475999999999</v>
      </c>
      <c r="F85" s="5">
        <v>0.2</v>
      </c>
      <c r="G85" s="6">
        <v>0.92999999999999972</v>
      </c>
      <c r="H85" s="5">
        <f t="shared" si="17"/>
        <v>0.25833333333333325</v>
      </c>
      <c r="I85" s="7">
        <v>557033.18729999999</v>
      </c>
      <c r="J85" s="7">
        <f t="shared" si="12"/>
        <v>28780.048010499992</v>
      </c>
      <c r="K85" s="7">
        <f t="shared" si="13"/>
        <v>7968.5720104999928</v>
      </c>
      <c r="L85" s="8">
        <v>128.82</v>
      </c>
      <c r="M85" s="5">
        <f t="shared" si="10"/>
        <v>28.780048010499993</v>
      </c>
      <c r="N85" s="5">
        <v>77999.857099999994</v>
      </c>
      <c r="O85" s="5">
        <f t="shared" si="14"/>
        <v>2244839.6321501387</v>
      </c>
      <c r="P85" s="7">
        <f>(L85+T85)*MAX(0, K85)</f>
        <v>1648058.924502668</v>
      </c>
      <c r="Q85" s="7">
        <f t="shared" si="15"/>
        <v>1026511.446392609</v>
      </c>
      <c r="R85" s="11">
        <f>P85-Q85</f>
        <v>621547.47811005893</v>
      </c>
      <c r="S85" s="11">
        <f t="shared" si="16"/>
        <v>77.9998571</v>
      </c>
      <c r="T85" s="9">
        <f>N85/1000</f>
        <v>77.9998571</v>
      </c>
      <c r="U85" s="14">
        <f>T85+L85</f>
        <v>206.81985709999998</v>
      </c>
      <c r="V85" s="16">
        <v>10400</v>
      </c>
    </row>
    <row r="86" spans="1:22" x14ac:dyDescent="0.25">
      <c r="A86" s="4">
        <v>20250804</v>
      </c>
      <c r="B86" s="4">
        <v>13</v>
      </c>
      <c r="C86" s="4">
        <v>5372.12</v>
      </c>
      <c r="D86" s="4">
        <v>15061.195</v>
      </c>
      <c r="E86" s="5">
        <f t="shared" si="11"/>
        <v>20433.314999999999</v>
      </c>
      <c r="F86" s="5">
        <v>0.2</v>
      </c>
      <c r="G86" s="6">
        <v>1.31</v>
      </c>
      <c r="H86" s="5">
        <f t="shared" si="17"/>
        <v>0.36388888888888887</v>
      </c>
      <c r="I86" s="7">
        <v>557033.18729999999</v>
      </c>
      <c r="J86" s="7">
        <f t="shared" si="12"/>
        <v>40539.637520166667</v>
      </c>
      <c r="K86" s="7">
        <f t="shared" si="13"/>
        <v>20106.322520166668</v>
      </c>
      <c r="L86" s="8">
        <v>122.33</v>
      </c>
      <c r="M86" s="5">
        <f t="shared" si="10"/>
        <v>40.539637520166664</v>
      </c>
      <c r="N86" s="5">
        <v>77999.857099999994</v>
      </c>
      <c r="O86" s="5">
        <f t="shared" si="14"/>
        <v>3162085.9334587981</v>
      </c>
      <c r="P86" s="7">
        <f>(L86+T86)*MAX(0, K86)</f>
        <v>4027896.7172715003</v>
      </c>
      <c r="Q86" s="7">
        <f t="shared" si="15"/>
        <v>2459606.4338919884</v>
      </c>
      <c r="R86" s="11">
        <f>P86-Q86</f>
        <v>1568290.2833795119</v>
      </c>
      <c r="S86" s="11">
        <f t="shared" si="16"/>
        <v>77.9998571</v>
      </c>
      <c r="T86" s="9">
        <f>N86/1000</f>
        <v>77.9998571</v>
      </c>
      <c r="U86" s="14">
        <f>T86+L86</f>
        <v>200.3298571</v>
      </c>
      <c r="V86" s="16">
        <v>10400</v>
      </c>
    </row>
    <row r="87" spans="1:22" x14ac:dyDescent="0.25">
      <c r="A87" s="4">
        <v>20250804</v>
      </c>
      <c r="B87" s="4">
        <v>14</v>
      </c>
      <c r="C87" s="4">
        <v>5199.6679999999997</v>
      </c>
      <c r="D87" s="4">
        <v>15262.376</v>
      </c>
      <c r="E87" s="5">
        <f t="shared" si="11"/>
        <v>20462.044000000002</v>
      </c>
      <c r="F87" s="5">
        <v>0.2</v>
      </c>
      <c r="G87" s="6">
        <v>1.49</v>
      </c>
      <c r="H87" s="5">
        <f t="shared" si="17"/>
        <v>0.41388888888888886</v>
      </c>
      <c r="I87" s="7">
        <v>557033.18729999999</v>
      </c>
      <c r="J87" s="7">
        <f t="shared" si="12"/>
        <v>46109.969393166662</v>
      </c>
      <c r="K87" s="7">
        <f t="shared" si="13"/>
        <v>25647.925393166661</v>
      </c>
      <c r="L87" s="8">
        <v>128.76</v>
      </c>
      <c r="M87" s="5">
        <f t="shared" si="10"/>
        <v>46.109969393166665</v>
      </c>
      <c r="N87" s="5">
        <v>77999.857099999994</v>
      </c>
      <c r="O87" s="5">
        <f t="shared" si="14"/>
        <v>3596571.0235523735</v>
      </c>
      <c r="P87" s="7">
        <f>(L87+T87)*MAX(0, K87)</f>
        <v>5302961.3892025994</v>
      </c>
      <c r="Q87" s="7">
        <f t="shared" si="15"/>
        <v>3302426.873624139</v>
      </c>
      <c r="R87" s="11">
        <f>P87-Q87</f>
        <v>2000534.5155784604</v>
      </c>
      <c r="S87" s="11">
        <f t="shared" si="16"/>
        <v>77.9998571</v>
      </c>
      <c r="T87" s="9">
        <f>N87/1000</f>
        <v>77.9998571</v>
      </c>
      <c r="U87" s="14">
        <f>T87+L87</f>
        <v>206.75985709999998</v>
      </c>
      <c r="V87" s="16">
        <v>10400</v>
      </c>
    </row>
    <row r="88" spans="1:22" x14ac:dyDescent="0.25">
      <c r="A88" s="4">
        <v>20250804</v>
      </c>
      <c r="B88" s="4">
        <v>15</v>
      </c>
      <c r="C88" s="4">
        <v>5101.0029999999997</v>
      </c>
      <c r="D88" s="4">
        <v>15575.421</v>
      </c>
      <c r="E88" s="5">
        <f t="shared" si="11"/>
        <v>20676.423999999999</v>
      </c>
      <c r="F88" s="5">
        <v>0.2</v>
      </c>
      <c r="G88" s="6">
        <v>1.57</v>
      </c>
      <c r="H88" s="5">
        <f t="shared" si="17"/>
        <v>0.43611111111111112</v>
      </c>
      <c r="I88" s="7">
        <v>557033.18729999999</v>
      </c>
      <c r="J88" s="7">
        <f t="shared" si="12"/>
        <v>48585.672447833334</v>
      </c>
      <c r="K88" s="7">
        <f t="shared" si="13"/>
        <v>27909.248447833335</v>
      </c>
      <c r="L88" s="8">
        <v>130.31</v>
      </c>
      <c r="M88" s="5">
        <f t="shared" si="10"/>
        <v>48.585672447833332</v>
      </c>
      <c r="N88" s="5">
        <v>77999.857099999994</v>
      </c>
      <c r="O88" s="5">
        <f t="shared" si="14"/>
        <v>3789675.5080384067</v>
      </c>
      <c r="P88" s="7">
        <f>(L88+T88)*MAX(0, K88)</f>
        <v>5813771.5559365582</v>
      </c>
      <c r="Q88" s="7">
        <f t="shared" si="15"/>
        <v>3636854.1652371618</v>
      </c>
      <c r="R88" s="11">
        <f>P88-Q88</f>
        <v>2176917.3906993964</v>
      </c>
      <c r="S88" s="11">
        <f t="shared" si="16"/>
        <v>77.999857099999986</v>
      </c>
      <c r="T88" s="9">
        <f>N88/1000</f>
        <v>77.9998571</v>
      </c>
      <c r="U88" s="14">
        <f>T88+L88</f>
        <v>208.30985709999999</v>
      </c>
      <c r="V88" s="16">
        <v>10400</v>
      </c>
    </row>
    <row r="89" spans="1:22" x14ac:dyDescent="0.25">
      <c r="A89" s="4">
        <v>20250804</v>
      </c>
      <c r="B89" s="4">
        <v>16</v>
      </c>
      <c r="C89" s="4">
        <v>5211.3940000000002</v>
      </c>
      <c r="D89" s="4">
        <v>15442.611999999999</v>
      </c>
      <c r="E89" s="5">
        <f t="shared" si="11"/>
        <v>20654.006000000001</v>
      </c>
      <c r="F89" s="5">
        <v>0.2</v>
      </c>
      <c r="G89" s="6">
        <v>1.99</v>
      </c>
      <c r="H89" s="5">
        <f t="shared" si="17"/>
        <v>0.55277777777777781</v>
      </c>
      <c r="I89" s="7">
        <v>557033.18729999999</v>
      </c>
      <c r="J89" s="7">
        <f t="shared" si="12"/>
        <v>61583.113484833339</v>
      </c>
      <c r="K89" s="7">
        <f t="shared" si="13"/>
        <v>40929.107484833337</v>
      </c>
      <c r="L89" s="8">
        <v>130.31</v>
      </c>
      <c r="M89" s="5">
        <f t="shared" si="10"/>
        <v>61.583113484833341</v>
      </c>
      <c r="N89" s="5">
        <v>77999.857099999994</v>
      </c>
      <c r="O89" s="5">
        <f t="shared" si="14"/>
        <v>4803474.0515900832</v>
      </c>
      <c r="P89" s="7">
        <f>(L89+T89)*MAX(0, K89)</f>
        <v>8525936.5313961729</v>
      </c>
      <c r="Q89" s="7">
        <f t="shared" si="15"/>
        <v>5333471.9963486325</v>
      </c>
      <c r="R89" s="11">
        <f>P89-Q89</f>
        <v>3192464.5350475404</v>
      </c>
      <c r="S89" s="11">
        <f t="shared" si="16"/>
        <v>77.9998571</v>
      </c>
      <c r="T89" s="9">
        <f>N89/1000</f>
        <v>77.9998571</v>
      </c>
      <c r="U89" s="14">
        <f>T89+L89</f>
        <v>208.30985709999999</v>
      </c>
      <c r="V89" s="16">
        <v>10400</v>
      </c>
    </row>
    <row r="90" spans="1:22" x14ac:dyDescent="0.25">
      <c r="A90" s="4">
        <v>20250804</v>
      </c>
      <c r="B90" s="4">
        <v>17</v>
      </c>
      <c r="C90" s="4">
        <v>5350.259</v>
      </c>
      <c r="D90" s="4">
        <v>15265.255999999999</v>
      </c>
      <c r="E90" s="5">
        <f t="shared" si="11"/>
        <v>20615.514999999999</v>
      </c>
      <c r="F90" s="5">
        <v>0.2</v>
      </c>
      <c r="G90" s="6">
        <v>2.3699999999999992</v>
      </c>
      <c r="H90" s="5">
        <f t="shared" si="17"/>
        <v>0.6583333333333331</v>
      </c>
      <c r="I90" s="7">
        <v>557033.18729999999</v>
      </c>
      <c r="J90" s="7">
        <f t="shared" si="12"/>
        <v>73342.702994499967</v>
      </c>
      <c r="K90" s="7">
        <f t="shared" si="13"/>
        <v>52727.187994499967</v>
      </c>
      <c r="L90" s="8">
        <v>130.36000000000001</v>
      </c>
      <c r="M90" s="5">
        <f t="shared" si="10"/>
        <v>73.342702994499973</v>
      </c>
      <c r="N90" s="5">
        <v>77999.857099999994</v>
      </c>
      <c r="O90" s="5">
        <f t="shared" si="14"/>
        <v>5720720.3528987393</v>
      </c>
      <c r="P90" s="7">
        <f>(L90+T90)*MAX(0, K90)</f>
        <v>10986229.355818849</v>
      </c>
      <c r="Q90" s="7">
        <f t="shared" si="15"/>
        <v>6873516.2269630162</v>
      </c>
      <c r="R90" s="11">
        <f>P90-Q90</f>
        <v>4112713.1288558329</v>
      </c>
      <c r="S90" s="11">
        <f t="shared" si="16"/>
        <v>77.9998571</v>
      </c>
      <c r="T90" s="9">
        <f>N90/1000</f>
        <v>77.9998571</v>
      </c>
      <c r="U90" s="14">
        <f>T90+L90</f>
        <v>208.3598571</v>
      </c>
      <c r="V90" s="16">
        <v>10400</v>
      </c>
    </row>
    <row r="91" spans="1:22" x14ac:dyDescent="0.25">
      <c r="A91" s="4">
        <v>20250804</v>
      </c>
      <c r="B91" s="4">
        <v>18</v>
      </c>
      <c r="C91" s="4">
        <v>6055.5420000000004</v>
      </c>
      <c r="D91" s="4">
        <v>14343.456</v>
      </c>
      <c r="E91" s="5">
        <f t="shared" si="11"/>
        <v>20398.998</v>
      </c>
      <c r="F91" s="5">
        <v>0.2</v>
      </c>
      <c r="G91" s="6">
        <v>1.2900000000000009</v>
      </c>
      <c r="H91" s="5">
        <f t="shared" si="17"/>
        <v>0.35833333333333356</v>
      </c>
      <c r="I91" s="7">
        <v>557033.18729999999</v>
      </c>
      <c r="J91" s="7">
        <f t="shared" si="12"/>
        <v>39920.711756500023</v>
      </c>
      <c r="K91" s="7">
        <f t="shared" si="13"/>
        <v>19521.713756500023</v>
      </c>
      <c r="L91" s="8">
        <v>130.66</v>
      </c>
      <c r="M91" s="5">
        <f t="shared" si="10"/>
        <v>39.920711756500026</v>
      </c>
      <c r="N91" s="5">
        <v>77999.857099999994</v>
      </c>
      <c r="O91" s="5">
        <f t="shared" si="14"/>
        <v>3113809.8123372919</v>
      </c>
      <c r="P91" s="7">
        <f>(L91+T91)*MAX(0, K91)</f>
        <v>4073398.0027783993</v>
      </c>
      <c r="Q91" s="7">
        <f t="shared" si="15"/>
        <v>2550707.1194242928</v>
      </c>
      <c r="R91" s="11">
        <f>P91-Q91</f>
        <v>1522690.8833541065</v>
      </c>
      <c r="S91" s="11">
        <f t="shared" si="16"/>
        <v>77.9998571</v>
      </c>
      <c r="T91" s="9">
        <f>N91/1000</f>
        <v>77.9998571</v>
      </c>
      <c r="U91" s="14">
        <f>T91+L91</f>
        <v>208.65985710000001</v>
      </c>
      <c r="V91" s="16">
        <v>10400</v>
      </c>
    </row>
    <row r="92" spans="1:22" x14ac:dyDescent="0.25">
      <c r="A92" s="4">
        <v>20250804</v>
      </c>
      <c r="B92" s="4">
        <v>19</v>
      </c>
      <c r="C92" s="4">
        <v>6726.9009999999998</v>
      </c>
      <c r="D92" s="4">
        <v>12511.821</v>
      </c>
      <c r="E92" s="5">
        <f t="shared" si="11"/>
        <v>19238.722000000002</v>
      </c>
      <c r="F92" s="5">
        <v>0.2</v>
      </c>
      <c r="G92" s="6">
        <v>0.40000000000000041</v>
      </c>
      <c r="H92" s="5">
        <f t="shared" si="17"/>
        <v>0.11111111111111122</v>
      </c>
      <c r="I92" s="7">
        <v>557033.18729999999</v>
      </c>
      <c r="J92" s="7">
        <f t="shared" si="12"/>
        <v>12378.515273333345</v>
      </c>
      <c r="K92" s="7">
        <f t="shared" si="13"/>
        <v>-6860.2067266666563</v>
      </c>
      <c r="L92" s="8">
        <v>131.69</v>
      </c>
      <c r="M92" s="5">
        <f t="shared" si="10"/>
        <v>12.378515273333345</v>
      </c>
      <c r="N92" s="5">
        <v>77999.857099999994</v>
      </c>
      <c r="O92" s="5">
        <f t="shared" si="14"/>
        <v>965522.42243016826</v>
      </c>
      <c r="P92" s="7">
        <f>(L92+T92)*MAX(0, K92)</f>
        <v>0</v>
      </c>
      <c r="Q92" s="7">
        <f t="shared" si="15"/>
        <v>0</v>
      </c>
      <c r="R92" s="11">
        <f>P92-Q92</f>
        <v>0</v>
      </c>
      <c r="S92" s="11">
        <f t="shared" si="16"/>
        <v>77.999857099999986</v>
      </c>
      <c r="T92" s="9">
        <f>N92/1000</f>
        <v>77.9998571</v>
      </c>
      <c r="U92" s="14">
        <f>T92+L92</f>
        <v>209.68985709999998</v>
      </c>
      <c r="V92" s="16">
        <v>10400</v>
      </c>
    </row>
    <row r="93" spans="1:22" x14ac:dyDescent="0.25">
      <c r="A93" s="4">
        <v>20250804</v>
      </c>
      <c r="B93" s="4">
        <v>20</v>
      </c>
      <c r="C93" s="4">
        <v>7025.7659999999996</v>
      </c>
      <c r="D93" s="4">
        <v>11317.531000000001</v>
      </c>
      <c r="E93" s="5">
        <f t="shared" si="11"/>
        <v>18343.296999999999</v>
      </c>
      <c r="F93" s="5">
        <v>0.2</v>
      </c>
      <c r="G93" s="6">
        <v>0.17999999999999969</v>
      </c>
      <c r="H93" s="5">
        <f t="shared" si="17"/>
        <v>4.9999999999999913E-2</v>
      </c>
      <c r="I93" s="7">
        <v>557033.18729999999</v>
      </c>
      <c r="J93" s="7">
        <f t="shared" si="12"/>
        <v>5570.3318729999901</v>
      </c>
      <c r="K93" s="7">
        <f t="shared" si="13"/>
        <v>-12772.965127000009</v>
      </c>
      <c r="L93" s="8">
        <v>131.69</v>
      </c>
      <c r="M93" s="5">
        <f t="shared" si="10"/>
        <v>5.57033187299999</v>
      </c>
      <c r="N93" s="5">
        <v>77999.857099999994</v>
      </c>
      <c r="O93" s="5">
        <f t="shared" si="14"/>
        <v>434485.09009357454</v>
      </c>
      <c r="P93" s="7">
        <f>(L93+T93)*MAX(0, K93)</f>
        <v>0</v>
      </c>
      <c r="Q93" s="7">
        <f t="shared" si="15"/>
        <v>0</v>
      </c>
      <c r="R93" s="11">
        <f>P93-Q93</f>
        <v>0</v>
      </c>
      <c r="S93" s="11">
        <f t="shared" si="16"/>
        <v>77.9998571</v>
      </c>
      <c r="T93" s="9">
        <f>N93/1000</f>
        <v>77.9998571</v>
      </c>
      <c r="U93" s="14">
        <f>T93+L93</f>
        <v>209.68985709999998</v>
      </c>
      <c r="V93" s="16">
        <v>10400</v>
      </c>
    </row>
    <row r="94" spans="1:22" x14ac:dyDescent="0.25">
      <c r="A94" s="4">
        <v>20250804</v>
      </c>
      <c r="B94" s="4">
        <v>21</v>
      </c>
      <c r="C94" s="4">
        <v>6982.6509999999998</v>
      </c>
      <c r="D94" s="4">
        <v>10408.915999999999</v>
      </c>
      <c r="E94" s="5">
        <f t="shared" si="11"/>
        <v>17391.566999999999</v>
      </c>
      <c r="F94" s="5">
        <v>0.2</v>
      </c>
      <c r="G94" s="6">
        <v>0</v>
      </c>
      <c r="H94" s="5">
        <f t="shared" si="17"/>
        <v>0</v>
      </c>
      <c r="I94" s="7">
        <v>557033.18729999999</v>
      </c>
      <c r="J94" s="7">
        <f t="shared" si="12"/>
        <v>0</v>
      </c>
      <c r="K94" s="7">
        <f t="shared" si="13"/>
        <v>-17391.566999999999</v>
      </c>
      <c r="L94" s="8">
        <v>128.76</v>
      </c>
      <c r="M94" s="5">
        <f t="shared" si="10"/>
        <v>0</v>
      </c>
      <c r="N94" s="5">
        <v>77999.857099999994</v>
      </c>
      <c r="O94" s="5">
        <f t="shared" si="14"/>
        <v>0</v>
      </c>
      <c r="P94" s="7">
        <f>(L94+T94)*MAX(0, K94)</f>
        <v>0</v>
      </c>
      <c r="Q94" s="7">
        <f t="shared" si="15"/>
        <v>0</v>
      </c>
      <c r="R94" s="11">
        <f>P94-Q94</f>
        <v>0</v>
      </c>
      <c r="S94" s="11">
        <f t="shared" si="16"/>
        <v>0</v>
      </c>
      <c r="T94" s="9">
        <f>N94/1000</f>
        <v>77.9998571</v>
      </c>
      <c r="U94" s="14">
        <f>T94+L94</f>
        <v>206.75985709999998</v>
      </c>
      <c r="V94" s="16">
        <v>10400</v>
      </c>
    </row>
    <row r="95" spans="1:22" x14ac:dyDescent="0.25">
      <c r="A95" s="4">
        <v>20250804</v>
      </c>
      <c r="B95" s="4">
        <v>22</v>
      </c>
      <c r="C95" s="4">
        <v>6761.2669999999998</v>
      </c>
      <c r="D95" s="4">
        <v>9692.4599999999991</v>
      </c>
      <c r="E95" s="5">
        <f t="shared" si="11"/>
        <v>16453.726999999999</v>
      </c>
      <c r="F95" s="5">
        <v>0.2</v>
      </c>
      <c r="G95" s="6">
        <v>0</v>
      </c>
      <c r="H95" s="5">
        <f t="shared" si="17"/>
        <v>0</v>
      </c>
      <c r="I95" s="7">
        <v>557033.18729999999</v>
      </c>
      <c r="J95" s="7">
        <f t="shared" si="12"/>
        <v>0</v>
      </c>
      <c r="K95" s="7">
        <f t="shared" si="13"/>
        <v>-16453.726999999999</v>
      </c>
      <c r="L95" s="8">
        <v>119.08</v>
      </c>
      <c r="M95" s="5">
        <f t="shared" si="10"/>
        <v>0</v>
      </c>
      <c r="N95" s="5">
        <v>77999.857099999994</v>
      </c>
      <c r="O95" s="5">
        <f t="shared" si="14"/>
        <v>0</v>
      </c>
      <c r="P95" s="7">
        <f>(L95+T95)*MAX(0, K95)</f>
        <v>0</v>
      </c>
      <c r="Q95" s="7">
        <f t="shared" si="15"/>
        <v>0</v>
      </c>
      <c r="R95" s="11">
        <f>P95-Q95</f>
        <v>0</v>
      </c>
      <c r="S95" s="11">
        <f t="shared" si="16"/>
        <v>0</v>
      </c>
      <c r="T95" s="9">
        <f>N95/1000</f>
        <v>77.9998571</v>
      </c>
      <c r="U95" s="14">
        <f>T95+L95</f>
        <v>197.0798571</v>
      </c>
      <c r="V95" s="16">
        <v>10400</v>
      </c>
    </row>
    <row r="96" spans="1:22" x14ac:dyDescent="0.25">
      <c r="A96" s="4">
        <v>20250804</v>
      </c>
      <c r="B96" s="4">
        <v>23</v>
      </c>
      <c r="C96" s="4">
        <v>6264.7110000000002</v>
      </c>
      <c r="D96" s="4">
        <v>9219.6119999999992</v>
      </c>
      <c r="E96" s="5">
        <f t="shared" si="11"/>
        <v>15484.323</v>
      </c>
      <c r="F96" s="5">
        <v>0.2</v>
      </c>
      <c r="G96" s="6">
        <v>0</v>
      </c>
      <c r="H96" s="5">
        <f t="shared" si="17"/>
        <v>0</v>
      </c>
      <c r="I96" s="7">
        <v>557033.18729999999</v>
      </c>
      <c r="J96" s="7">
        <f t="shared" si="12"/>
        <v>0</v>
      </c>
      <c r="K96" s="7">
        <f t="shared" si="13"/>
        <v>-15484.323</v>
      </c>
      <c r="L96" s="8">
        <v>119.08</v>
      </c>
      <c r="M96" s="5">
        <f t="shared" si="10"/>
        <v>0</v>
      </c>
      <c r="N96" s="5">
        <v>77999.857099999994</v>
      </c>
      <c r="O96" s="5">
        <f t="shared" si="14"/>
        <v>0</v>
      </c>
      <c r="P96" s="7">
        <f>(L96+T96)*MAX(0, K96)</f>
        <v>0</v>
      </c>
      <c r="Q96" s="7">
        <f t="shared" si="15"/>
        <v>0</v>
      </c>
      <c r="R96" s="11">
        <f>P96-Q96</f>
        <v>0</v>
      </c>
      <c r="S96" s="11">
        <f t="shared" si="16"/>
        <v>0</v>
      </c>
      <c r="T96" s="9">
        <f>N96/1000</f>
        <v>77.9998571</v>
      </c>
      <c r="U96" s="14">
        <f>T96+L96</f>
        <v>197.0798571</v>
      </c>
      <c r="V96" s="16">
        <v>10400</v>
      </c>
    </row>
    <row r="97" spans="1:22" x14ac:dyDescent="0.25">
      <c r="A97" s="4">
        <v>20250804</v>
      </c>
      <c r="B97" s="4">
        <v>24</v>
      </c>
      <c r="C97" s="4">
        <v>5427.8149999999996</v>
      </c>
      <c r="D97" s="4">
        <v>9041.6489999999994</v>
      </c>
      <c r="E97" s="5">
        <f t="shared" si="11"/>
        <v>14469.464</v>
      </c>
      <c r="F97" s="5">
        <v>0.2</v>
      </c>
      <c r="G97" s="6">
        <v>0</v>
      </c>
      <c r="H97" s="5">
        <f t="shared" si="17"/>
        <v>0</v>
      </c>
      <c r="I97" s="7">
        <v>557033.18729999999</v>
      </c>
      <c r="J97" s="7">
        <f t="shared" si="12"/>
        <v>0</v>
      </c>
      <c r="K97" s="7">
        <f t="shared" si="13"/>
        <v>-14469.464</v>
      </c>
      <c r="L97" s="8">
        <v>118.77</v>
      </c>
      <c r="M97" s="5">
        <f t="shared" si="10"/>
        <v>0</v>
      </c>
      <c r="N97" s="5">
        <v>77999.857099999994</v>
      </c>
      <c r="O97" s="5">
        <f t="shared" si="14"/>
        <v>0</v>
      </c>
      <c r="P97" s="7">
        <f>(L97+T97)*MAX(0, K97)</f>
        <v>0</v>
      </c>
      <c r="Q97" s="7">
        <f t="shared" si="15"/>
        <v>0</v>
      </c>
      <c r="R97" s="11">
        <f>P97-Q97</f>
        <v>0</v>
      </c>
      <c r="S97" s="11">
        <f t="shared" si="16"/>
        <v>0</v>
      </c>
      <c r="T97" s="9">
        <f>N97/1000</f>
        <v>77.9998571</v>
      </c>
      <c r="U97" s="14">
        <f>T97+L97</f>
        <v>196.7698571</v>
      </c>
      <c r="V97" s="16">
        <v>10400</v>
      </c>
    </row>
    <row r="98" spans="1:22" x14ac:dyDescent="0.25">
      <c r="A98" s="4">
        <v>20250805</v>
      </c>
      <c r="B98" s="4">
        <v>1</v>
      </c>
      <c r="C98" s="4">
        <v>4635.1909999999998</v>
      </c>
      <c r="D98" s="4">
        <v>7600.0010000000002</v>
      </c>
      <c r="E98" s="5">
        <f t="shared" si="11"/>
        <v>12235.191999999999</v>
      </c>
      <c r="F98" s="5">
        <v>0.2</v>
      </c>
      <c r="G98" s="6">
        <v>0</v>
      </c>
      <c r="H98" s="5">
        <f t="shared" si="17"/>
        <v>0</v>
      </c>
      <c r="I98" s="7">
        <v>557033.18729999999</v>
      </c>
      <c r="J98" s="7">
        <f t="shared" si="12"/>
        <v>0</v>
      </c>
      <c r="K98" s="7">
        <f t="shared" si="13"/>
        <v>-12235.191999999999</v>
      </c>
      <c r="L98" s="8">
        <v>115.29</v>
      </c>
      <c r="M98" s="5">
        <f t="shared" ref="M98:M129" si="18" xml:space="preserve"> J98/1000</f>
        <v>0</v>
      </c>
      <c r="N98" s="5">
        <v>78014.142900000006</v>
      </c>
      <c r="O98" s="5">
        <f t="shared" si="14"/>
        <v>0</v>
      </c>
      <c r="P98" s="7">
        <f>(L98+T98)*MAX(0, K98)</f>
        <v>0</v>
      </c>
      <c r="Q98" s="7">
        <f t="shared" si="15"/>
        <v>0</v>
      </c>
      <c r="R98" s="11">
        <f>P98-Q98</f>
        <v>0</v>
      </c>
      <c r="S98" s="11">
        <f t="shared" si="16"/>
        <v>0</v>
      </c>
      <c r="T98" s="9">
        <f>N98/1000</f>
        <v>78.01414290000001</v>
      </c>
      <c r="U98" s="14">
        <f>T98+L98</f>
        <v>193.30414290000002</v>
      </c>
      <c r="V98" s="16">
        <v>10400</v>
      </c>
    </row>
    <row r="99" spans="1:22" x14ac:dyDescent="0.25">
      <c r="A99" s="4">
        <v>20250805</v>
      </c>
      <c r="B99" s="4">
        <v>2</v>
      </c>
      <c r="C99" s="4">
        <v>3900.13</v>
      </c>
      <c r="D99" s="4">
        <v>7889.085</v>
      </c>
      <c r="E99" s="5">
        <f t="shared" si="11"/>
        <v>11789.215</v>
      </c>
      <c r="F99" s="5">
        <v>0.2</v>
      </c>
      <c r="G99" s="6">
        <v>0</v>
      </c>
      <c r="H99" s="5">
        <f t="shared" si="17"/>
        <v>0</v>
      </c>
      <c r="I99" s="7">
        <v>557033.18729999999</v>
      </c>
      <c r="J99" s="7">
        <f t="shared" si="12"/>
        <v>0</v>
      </c>
      <c r="K99" s="7">
        <f t="shared" si="13"/>
        <v>-11789.215</v>
      </c>
      <c r="L99" s="8">
        <v>76.290000000000006</v>
      </c>
      <c r="M99" s="5">
        <f t="shared" si="18"/>
        <v>0</v>
      </c>
      <c r="N99" s="5">
        <v>78014.142900000006</v>
      </c>
      <c r="O99" s="5">
        <f t="shared" si="14"/>
        <v>0</v>
      </c>
      <c r="P99" s="7">
        <f>(L99+T99)*MAX(0, K99)</f>
        <v>0</v>
      </c>
      <c r="Q99" s="7">
        <f t="shared" si="15"/>
        <v>0</v>
      </c>
      <c r="R99" s="11">
        <f>P99-Q99</f>
        <v>0</v>
      </c>
      <c r="S99" s="11">
        <f t="shared" si="16"/>
        <v>0</v>
      </c>
      <c r="T99" s="9">
        <f>N99/1000</f>
        <v>78.01414290000001</v>
      </c>
      <c r="U99" s="14">
        <f>T99+L99</f>
        <v>154.30414290000002</v>
      </c>
      <c r="V99" s="16">
        <v>10400</v>
      </c>
    </row>
    <row r="100" spans="1:22" x14ac:dyDescent="0.25">
      <c r="A100" s="4">
        <v>20250805</v>
      </c>
      <c r="B100" s="4">
        <v>3</v>
      </c>
      <c r="C100" s="4">
        <v>3883.7910000000002</v>
      </c>
      <c r="D100" s="4">
        <v>8968.6229999999996</v>
      </c>
      <c r="E100" s="5">
        <f t="shared" si="11"/>
        <v>12852.414000000001</v>
      </c>
      <c r="F100" s="5">
        <v>0.2</v>
      </c>
      <c r="G100" s="6">
        <v>0</v>
      </c>
      <c r="H100" s="5">
        <f t="shared" si="17"/>
        <v>0</v>
      </c>
      <c r="I100" s="7">
        <v>557033.18729999999</v>
      </c>
      <c r="J100" s="7">
        <f t="shared" si="12"/>
        <v>0</v>
      </c>
      <c r="K100" s="7">
        <f t="shared" si="13"/>
        <v>-12852.414000000001</v>
      </c>
      <c r="L100" s="8">
        <v>75.819999999999993</v>
      </c>
      <c r="M100" s="5">
        <f t="shared" si="18"/>
        <v>0</v>
      </c>
      <c r="N100" s="5">
        <v>78014.142900000006</v>
      </c>
      <c r="O100" s="5">
        <f t="shared" si="14"/>
        <v>0</v>
      </c>
      <c r="P100" s="7">
        <f>(L100+T100)*MAX(0, K100)</f>
        <v>0</v>
      </c>
      <c r="Q100" s="7">
        <f t="shared" si="15"/>
        <v>0</v>
      </c>
      <c r="R100" s="11">
        <f>P100-Q100</f>
        <v>0</v>
      </c>
      <c r="S100" s="11">
        <f t="shared" si="16"/>
        <v>0</v>
      </c>
      <c r="T100" s="9">
        <f>N100/1000</f>
        <v>78.01414290000001</v>
      </c>
      <c r="U100" s="14">
        <f>T100+L100</f>
        <v>153.83414290000002</v>
      </c>
      <c r="V100" s="16">
        <v>10400</v>
      </c>
    </row>
    <row r="101" spans="1:22" x14ac:dyDescent="0.25">
      <c r="A101" s="4">
        <v>20250805</v>
      </c>
      <c r="B101" s="4">
        <v>4</v>
      </c>
      <c r="C101" s="4">
        <v>3636.0540000000001</v>
      </c>
      <c r="D101" s="4">
        <v>9067.9359999999997</v>
      </c>
      <c r="E101" s="5">
        <f t="shared" si="11"/>
        <v>12703.99</v>
      </c>
      <c r="F101" s="5">
        <v>0.2</v>
      </c>
      <c r="G101" s="6">
        <v>0</v>
      </c>
      <c r="H101" s="5">
        <f t="shared" si="17"/>
        <v>0</v>
      </c>
      <c r="I101" s="7">
        <v>557033.18729999999</v>
      </c>
      <c r="J101" s="7">
        <f t="shared" si="12"/>
        <v>0</v>
      </c>
      <c r="K101" s="7">
        <f t="shared" si="13"/>
        <v>-12703.99</v>
      </c>
      <c r="L101" s="8">
        <v>75.819999999999993</v>
      </c>
      <c r="M101" s="5">
        <f t="shared" si="18"/>
        <v>0</v>
      </c>
      <c r="N101" s="5">
        <v>78014.142900000006</v>
      </c>
      <c r="O101" s="5">
        <f t="shared" si="14"/>
        <v>0</v>
      </c>
      <c r="P101" s="7">
        <f>(L101+T101)*MAX(0, K101)</f>
        <v>0</v>
      </c>
      <c r="Q101" s="7">
        <f t="shared" si="15"/>
        <v>0</v>
      </c>
      <c r="R101" s="11">
        <f>P101-Q101</f>
        <v>0</v>
      </c>
      <c r="S101" s="11">
        <f t="shared" si="16"/>
        <v>0</v>
      </c>
      <c r="T101" s="9">
        <f>N101/1000</f>
        <v>78.01414290000001</v>
      </c>
      <c r="U101" s="14">
        <f>T101+L101</f>
        <v>153.83414290000002</v>
      </c>
      <c r="V101" s="16">
        <v>10400</v>
      </c>
    </row>
    <row r="102" spans="1:22" x14ac:dyDescent="0.25">
      <c r="A102" s="4">
        <v>20250805</v>
      </c>
      <c r="B102" s="4">
        <v>5</v>
      </c>
      <c r="C102" s="4">
        <v>3493.7379999999998</v>
      </c>
      <c r="D102" s="4">
        <v>9075.7150000000001</v>
      </c>
      <c r="E102" s="5">
        <f t="shared" si="11"/>
        <v>12569.453</v>
      </c>
      <c r="F102" s="5">
        <v>0.2</v>
      </c>
      <c r="G102" s="6">
        <v>0</v>
      </c>
      <c r="H102" s="5">
        <f t="shared" si="17"/>
        <v>0</v>
      </c>
      <c r="I102" s="7">
        <v>557033.18729999999</v>
      </c>
      <c r="J102" s="7">
        <f t="shared" si="12"/>
        <v>0</v>
      </c>
      <c r="K102" s="7">
        <f t="shared" si="13"/>
        <v>-12569.453</v>
      </c>
      <c r="L102" s="8">
        <v>75.819999999999993</v>
      </c>
      <c r="M102" s="5">
        <f t="shared" si="18"/>
        <v>0</v>
      </c>
      <c r="N102" s="5">
        <v>78014.142900000006</v>
      </c>
      <c r="O102" s="5">
        <f t="shared" si="14"/>
        <v>0</v>
      </c>
      <c r="P102" s="7">
        <f>(L102+T102)*MAX(0, K102)</f>
        <v>0</v>
      </c>
      <c r="Q102" s="7">
        <f t="shared" si="15"/>
        <v>0</v>
      </c>
      <c r="R102" s="11">
        <f>P102-Q102</f>
        <v>0</v>
      </c>
      <c r="S102" s="11">
        <f t="shared" si="16"/>
        <v>0</v>
      </c>
      <c r="T102" s="9">
        <f>N102/1000</f>
        <v>78.01414290000001</v>
      </c>
      <c r="U102" s="14">
        <f>T102+L102</f>
        <v>153.83414290000002</v>
      </c>
      <c r="V102" s="16">
        <v>10400</v>
      </c>
    </row>
    <row r="103" spans="1:22" x14ac:dyDescent="0.25">
      <c r="A103" s="4">
        <v>20250805</v>
      </c>
      <c r="B103" s="4">
        <v>6</v>
      </c>
      <c r="C103" s="4">
        <v>3492.326</v>
      </c>
      <c r="D103" s="4">
        <v>9316.3009999999995</v>
      </c>
      <c r="E103" s="5">
        <f t="shared" si="11"/>
        <v>12808.627</v>
      </c>
      <c r="F103" s="5">
        <v>0.2</v>
      </c>
      <c r="G103" s="6">
        <v>0</v>
      </c>
      <c r="H103" s="5">
        <f t="shared" si="17"/>
        <v>0</v>
      </c>
      <c r="I103" s="7">
        <v>557033.18729999999</v>
      </c>
      <c r="J103" s="7">
        <f t="shared" si="12"/>
        <v>0</v>
      </c>
      <c r="K103" s="7">
        <f t="shared" si="13"/>
        <v>-12808.627</v>
      </c>
      <c r="L103" s="8">
        <v>75.819999999999993</v>
      </c>
      <c r="M103" s="5">
        <f t="shared" si="18"/>
        <v>0</v>
      </c>
      <c r="N103" s="5">
        <v>78014.142900000006</v>
      </c>
      <c r="O103" s="5">
        <f t="shared" si="14"/>
        <v>0</v>
      </c>
      <c r="P103" s="7">
        <f>(L103+T103)*MAX(0, K103)</f>
        <v>0</v>
      </c>
      <c r="Q103" s="7">
        <f t="shared" si="15"/>
        <v>0</v>
      </c>
      <c r="R103" s="11">
        <f>P103-Q103</f>
        <v>0</v>
      </c>
      <c r="S103" s="11">
        <f t="shared" si="16"/>
        <v>0</v>
      </c>
      <c r="T103" s="9">
        <f>N103/1000</f>
        <v>78.01414290000001</v>
      </c>
      <c r="U103" s="14">
        <f>T103+L103</f>
        <v>153.83414290000002</v>
      </c>
      <c r="V103" s="16">
        <v>10400</v>
      </c>
    </row>
    <row r="104" spans="1:22" x14ac:dyDescent="0.25">
      <c r="A104" s="4">
        <v>20250805</v>
      </c>
      <c r="B104" s="4">
        <v>7</v>
      </c>
      <c r="C104" s="4">
        <v>3305.5329999999999</v>
      </c>
      <c r="D104" s="4">
        <v>8121.5219999999999</v>
      </c>
      <c r="E104" s="5">
        <f t="shared" si="11"/>
        <v>11427.055</v>
      </c>
      <c r="F104" s="5">
        <v>0.2</v>
      </c>
      <c r="G104" s="6">
        <v>0</v>
      </c>
      <c r="H104" s="5">
        <f t="shared" si="17"/>
        <v>0</v>
      </c>
      <c r="I104" s="7">
        <v>557033.18729999999</v>
      </c>
      <c r="J104" s="7">
        <f t="shared" si="12"/>
        <v>0</v>
      </c>
      <c r="K104" s="7">
        <f t="shared" si="13"/>
        <v>-11427.055</v>
      </c>
      <c r="L104" s="8">
        <v>115.29</v>
      </c>
      <c r="M104" s="5">
        <f t="shared" si="18"/>
        <v>0</v>
      </c>
      <c r="N104" s="5">
        <v>78014.142900000006</v>
      </c>
      <c r="O104" s="5">
        <f t="shared" si="14"/>
        <v>0</v>
      </c>
      <c r="P104" s="7">
        <f>(L104+T104)*MAX(0, K104)</f>
        <v>0</v>
      </c>
      <c r="Q104" s="7">
        <f t="shared" si="15"/>
        <v>0</v>
      </c>
      <c r="R104" s="11">
        <f>P104-Q104</f>
        <v>0</v>
      </c>
      <c r="S104" s="11">
        <f t="shared" si="16"/>
        <v>0</v>
      </c>
      <c r="T104" s="9">
        <f>N104/1000</f>
        <v>78.01414290000001</v>
      </c>
      <c r="U104" s="14">
        <f>T104+L104</f>
        <v>193.30414290000002</v>
      </c>
      <c r="V104" s="16">
        <v>10400</v>
      </c>
    </row>
    <row r="105" spans="1:22" x14ac:dyDescent="0.25">
      <c r="A105" s="4">
        <v>20250805</v>
      </c>
      <c r="B105" s="4">
        <v>8</v>
      </c>
      <c r="C105" s="4">
        <v>4380.2979999999998</v>
      </c>
      <c r="D105" s="4">
        <v>12093.48</v>
      </c>
      <c r="E105" s="5">
        <f t="shared" si="11"/>
        <v>16473.777999999998</v>
      </c>
      <c r="F105" s="5">
        <v>0.2</v>
      </c>
      <c r="G105" s="6">
        <v>0.11</v>
      </c>
      <c r="H105" s="5">
        <f t="shared" si="17"/>
        <v>3.0555555555555555E-2</v>
      </c>
      <c r="I105" s="7">
        <v>557033.18729999999</v>
      </c>
      <c r="J105" s="7">
        <f t="shared" si="12"/>
        <v>3404.0917001666667</v>
      </c>
      <c r="K105" s="7">
        <f t="shared" si="13"/>
        <v>-13069.686299833331</v>
      </c>
      <c r="L105" s="8">
        <v>118.44</v>
      </c>
      <c r="M105" s="5">
        <f t="shared" si="18"/>
        <v>3.4040917001666666</v>
      </c>
      <c r="N105" s="5">
        <v>78014.142900000006</v>
      </c>
      <c r="O105" s="5">
        <f t="shared" si="14"/>
        <v>265567.2963415063</v>
      </c>
      <c r="P105" s="7">
        <f>(L105+T105)*MAX(0, K105)</f>
        <v>0</v>
      </c>
      <c r="Q105" s="7">
        <f t="shared" si="15"/>
        <v>0</v>
      </c>
      <c r="R105" s="11">
        <f>P105-Q105</f>
        <v>0</v>
      </c>
      <c r="S105" s="11">
        <f t="shared" si="16"/>
        <v>78.01414290000001</v>
      </c>
      <c r="T105" s="9">
        <f>N105/1000</f>
        <v>78.01414290000001</v>
      </c>
      <c r="U105" s="14">
        <f>T105+L105</f>
        <v>196.45414290000002</v>
      </c>
      <c r="V105" s="16">
        <v>10400</v>
      </c>
    </row>
    <row r="106" spans="1:22" x14ac:dyDescent="0.25">
      <c r="A106" s="4">
        <v>20250805</v>
      </c>
      <c r="B106" s="4">
        <v>9</v>
      </c>
      <c r="C106" s="4">
        <v>4802.9170000000004</v>
      </c>
      <c r="D106" s="4">
        <v>14412.236000000001</v>
      </c>
      <c r="E106" s="5">
        <f t="shared" si="11"/>
        <v>19215.153000000002</v>
      </c>
      <c r="F106" s="5">
        <v>0.2</v>
      </c>
      <c r="G106" s="6">
        <v>0.19</v>
      </c>
      <c r="H106" s="5">
        <f t="shared" si="17"/>
        <v>5.2777777777777778E-2</v>
      </c>
      <c r="I106" s="7">
        <v>557033.18729999999</v>
      </c>
      <c r="J106" s="7">
        <f t="shared" si="12"/>
        <v>5879.7947548333332</v>
      </c>
      <c r="K106" s="7">
        <f t="shared" si="13"/>
        <v>-13335.35824516667</v>
      </c>
      <c r="L106" s="8">
        <v>118.38</v>
      </c>
      <c r="M106" s="5">
        <f t="shared" si="18"/>
        <v>5.8797947548333331</v>
      </c>
      <c r="N106" s="5">
        <v>78014.142900000006</v>
      </c>
      <c r="O106" s="5">
        <f t="shared" si="14"/>
        <v>458707.14822623815</v>
      </c>
      <c r="P106" s="7">
        <f>(L106+T106)*MAX(0, K106)</f>
        <v>0</v>
      </c>
      <c r="Q106" s="7">
        <f t="shared" si="15"/>
        <v>0</v>
      </c>
      <c r="R106" s="11">
        <f>P106-Q106</f>
        <v>0</v>
      </c>
      <c r="S106" s="11">
        <f t="shared" si="16"/>
        <v>78.01414290000001</v>
      </c>
      <c r="T106" s="9">
        <f>N106/1000</f>
        <v>78.01414290000001</v>
      </c>
      <c r="U106" s="14">
        <f>T106+L106</f>
        <v>196.39414290000002</v>
      </c>
      <c r="V106" s="16">
        <v>10400</v>
      </c>
    </row>
    <row r="107" spans="1:22" x14ac:dyDescent="0.25">
      <c r="A107" s="4">
        <v>20250805</v>
      </c>
      <c r="B107" s="4">
        <v>10</v>
      </c>
      <c r="C107" s="4">
        <v>4264.7820000000002</v>
      </c>
      <c r="D107" s="4">
        <v>14679.742</v>
      </c>
      <c r="E107" s="5">
        <f t="shared" si="11"/>
        <v>18944.524000000001</v>
      </c>
      <c r="F107" s="5">
        <v>0.2</v>
      </c>
      <c r="G107" s="6">
        <v>0.3</v>
      </c>
      <c r="H107" s="5">
        <f t="shared" si="17"/>
        <v>8.3333333333333329E-2</v>
      </c>
      <c r="I107" s="7">
        <v>557033.18729999999</v>
      </c>
      <c r="J107" s="7">
        <f t="shared" si="12"/>
        <v>9283.8864549999998</v>
      </c>
      <c r="K107" s="7">
        <f t="shared" si="13"/>
        <v>-9660.6375450000014</v>
      </c>
      <c r="L107" s="8">
        <v>118.38</v>
      </c>
      <c r="M107" s="5">
        <f t="shared" si="18"/>
        <v>9.2838864549999993</v>
      </c>
      <c r="N107" s="5">
        <v>78014.142900000006</v>
      </c>
      <c r="O107" s="5">
        <f t="shared" si="14"/>
        <v>724274.44456774439</v>
      </c>
      <c r="P107" s="7">
        <f>(L107+T107)*MAX(0, K107)</f>
        <v>0</v>
      </c>
      <c r="Q107" s="7">
        <f t="shared" si="15"/>
        <v>0</v>
      </c>
      <c r="R107" s="11">
        <f>P107-Q107</f>
        <v>0</v>
      </c>
      <c r="S107" s="11">
        <f t="shared" si="16"/>
        <v>78.014142899999996</v>
      </c>
      <c r="T107" s="9">
        <f>N107/1000</f>
        <v>78.01414290000001</v>
      </c>
      <c r="U107" s="14">
        <f>T107+L107</f>
        <v>196.39414290000002</v>
      </c>
      <c r="V107" s="16">
        <v>10400</v>
      </c>
    </row>
    <row r="108" spans="1:22" x14ac:dyDescent="0.25">
      <c r="A108" s="4">
        <v>20250805</v>
      </c>
      <c r="B108" s="4">
        <v>11</v>
      </c>
      <c r="C108" s="4">
        <v>5206.4679999999998</v>
      </c>
      <c r="D108" s="4">
        <v>16027.046</v>
      </c>
      <c r="E108" s="5">
        <f t="shared" si="11"/>
        <v>21233.513999999999</v>
      </c>
      <c r="F108" s="5">
        <v>0.2</v>
      </c>
      <c r="G108" s="6">
        <v>0.35</v>
      </c>
      <c r="H108" s="5">
        <f t="shared" si="17"/>
        <v>9.722222222222221E-2</v>
      </c>
      <c r="I108" s="7">
        <v>557033.18729999999</v>
      </c>
      <c r="J108" s="7">
        <f t="shared" si="12"/>
        <v>10831.200864166665</v>
      </c>
      <c r="K108" s="7">
        <f t="shared" si="13"/>
        <v>-10402.313135833334</v>
      </c>
      <c r="L108" s="8">
        <v>118.21</v>
      </c>
      <c r="M108" s="5">
        <f t="shared" si="18"/>
        <v>10.831200864166664</v>
      </c>
      <c r="N108" s="5">
        <v>78014.142900000006</v>
      </c>
      <c r="O108" s="5">
        <f t="shared" si="14"/>
        <v>844986.85199570167</v>
      </c>
      <c r="P108" s="7">
        <f>(L108+T108)*MAX(0, K108)</f>
        <v>0</v>
      </c>
      <c r="Q108" s="7">
        <f t="shared" si="15"/>
        <v>0</v>
      </c>
      <c r="R108" s="11">
        <f>P108-Q108</f>
        <v>0</v>
      </c>
      <c r="S108" s="11">
        <f t="shared" si="16"/>
        <v>78.014142899999996</v>
      </c>
      <c r="T108" s="9">
        <f>N108/1000</f>
        <v>78.01414290000001</v>
      </c>
      <c r="U108" s="14">
        <f>T108+L108</f>
        <v>196.2241429</v>
      </c>
      <c r="V108" s="16">
        <v>10400</v>
      </c>
    </row>
    <row r="109" spans="1:22" x14ac:dyDescent="0.25">
      <c r="A109" s="4">
        <v>20250805</v>
      </c>
      <c r="B109" s="4">
        <v>12</v>
      </c>
      <c r="C109" s="4">
        <v>5562.7719999999999</v>
      </c>
      <c r="D109" s="4">
        <v>16302.06</v>
      </c>
      <c r="E109" s="5">
        <f t="shared" si="11"/>
        <v>21864.831999999999</v>
      </c>
      <c r="F109" s="5">
        <v>0.2</v>
      </c>
      <c r="G109" s="6">
        <v>0.54</v>
      </c>
      <c r="H109" s="5">
        <f t="shared" si="17"/>
        <v>0.15</v>
      </c>
      <c r="I109" s="7">
        <v>557033.18729999999</v>
      </c>
      <c r="J109" s="7">
        <f t="shared" si="12"/>
        <v>16710.995618999998</v>
      </c>
      <c r="K109" s="7">
        <f t="shared" si="13"/>
        <v>-5153.836381000001</v>
      </c>
      <c r="L109" s="8">
        <v>119.75</v>
      </c>
      <c r="M109" s="5">
        <f t="shared" si="18"/>
        <v>16.710995618999998</v>
      </c>
      <c r="N109" s="5">
        <v>78014.142900000006</v>
      </c>
      <c r="O109" s="5">
        <f t="shared" si="14"/>
        <v>1303694.00022194</v>
      </c>
      <c r="P109" s="7">
        <f>(L109+T109)*MAX(0, K109)</f>
        <v>0</v>
      </c>
      <c r="Q109" s="7">
        <f t="shared" si="15"/>
        <v>0</v>
      </c>
      <c r="R109" s="11">
        <f>P109-Q109</f>
        <v>0</v>
      </c>
      <c r="S109" s="11">
        <f t="shared" si="16"/>
        <v>78.01414290000001</v>
      </c>
      <c r="T109" s="9">
        <f>N109/1000</f>
        <v>78.01414290000001</v>
      </c>
      <c r="U109" s="14">
        <f>T109+L109</f>
        <v>197.76414290000002</v>
      </c>
      <c r="V109" s="16">
        <v>10400</v>
      </c>
    </row>
    <row r="110" spans="1:22" x14ac:dyDescent="0.25">
      <c r="A110" s="4">
        <v>20250805</v>
      </c>
      <c r="B110" s="4">
        <v>13</v>
      </c>
      <c r="C110" s="4">
        <v>5767.7560000000003</v>
      </c>
      <c r="D110" s="4">
        <v>15704.963</v>
      </c>
      <c r="E110" s="5">
        <f t="shared" si="11"/>
        <v>21472.719000000001</v>
      </c>
      <c r="F110" s="5">
        <v>0.2</v>
      </c>
      <c r="G110" s="6">
        <v>1.21</v>
      </c>
      <c r="H110" s="5">
        <f t="shared" si="17"/>
        <v>0.33611111111111108</v>
      </c>
      <c r="I110" s="7">
        <v>557033.18729999999</v>
      </c>
      <c r="J110" s="7">
        <f t="shared" si="12"/>
        <v>37445.008701833329</v>
      </c>
      <c r="K110" s="7">
        <f t="shared" si="13"/>
        <v>15972.289701833328</v>
      </c>
      <c r="L110" s="8">
        <v>118.61</v>
      </c>
      <c r="M110" s="5">
        <f t="shared" si="18"/>
        <v>37.445008701833331</v>
      </c>
      <c r="N110" s="5">
        <v>78014.142900000006</v>
      </c>
      <c r="O110" s="5">
        <f t="shared" si="14"/>
        <v>2921240.2597565693</v>
      </c>
      <c r="P110" s="7">
        <f>(L110+T110)*MAX(0, K110)</f>
        <v>3140537.7727734749</v>
      </c>
      <c r="Q110" s="7">
        <f t="shared" si="15"/>
        <v>1894473.2815344511</v>
      </c>
      <c r="R110" s="11">
        <f>P110-Q110</f>
        <v>1246064.4912390239</v>
      </c>
      <c r="S110" s="11">
        <f t="shared" si="16"/>
        <v>78.01414290000001</v>
      </c>
      <c r="T110" s="9">
        <f>N110/1000</f>
        <v>78.01414290000001</v>
      </c>
      <c r="U110" s="14">
        <f>T110+L110</f>
        <v>196.62414290000001</v>
      </c>
      <c r="V110" s="16">
        <v>10400</v>
      </c>
    </row>
    <row r="111" spans="1:22" x14ac:dyDescent="0.25">
      <c r="A111" s="4">
        <v>20250805</v>
      </c>
      <c r="B111" s="4">
        <v>14</v>
      </c>
      <c r="C111" s="4">
        <v>5643.875</v>
      </c>
      <c r="D111" s="4">
        <v>15820.652</v>
      </c>
      <c r="E111" s="5">
        <f t="shared" si="11"/>
        <v>21464.527000000002</v>
      </c>
      <c r="F111" s="5">
        <v>0.2</v>
      </c>
      <c r="G111" s="6">
        <v>1.1499999999999999</v>
      </c>
      <c r="H111" s="5">
        <f t="shared" si="17"/>
        <v>0.31944444444444442</v>
      </c>
      <c r="I111" s="7">
        <v>557033.18729999999</v>
      </c>
      <c r="J111" s="7">
        <f t="shared" si="12"/>
        <v>35588.23141083333</v>
      </c>
      <c r="K111" s="7">
        <f t="shared" si="13"/>
        <v>14123.704410833328</v>
      </c>
      <c r="L111" s="8">
        <v>118.13</v>
      </c>
      <c r="M111" s="5">
        <f t="shared" si="18"/>
        <v>35.58823141083333</v>
      </c>
      <c r="N111" s="5">
        <v>78014.142900000006</v>
      </c>
      <c r="O111" s="5">
        <f t="shared" si="14"/>
        <v>2776385.3708430203</v>
      </c>
      <c r="P111" s="7">
        <f>(L111+T111)*MAX(0, K111)</f>
        <v>2770281.896235853</v>
      </c>
      <c r="Q111" s="7">
        <f t="shared" si="15"/>
        <v>1668433.2020517411</v>
      </c>
      <c r="R111" s="11">
        <f>P111-Q111</f>
        <v>1101848.6941841119</v>
      </c>
      <c r="S111" s="11">
        <f t="shared" si="16"/>
        <v>78.01414290000001</v>
      </c>
      <c r="T111" s="9">
        <f>N111/1000</f>
        <v>78.01414290000001</v>
      </c>
      <c r="U111" s="14">
        <f>T111+L111</f>
        <v>196.14414290000002</v>
      </c>
      <c r="V111" s="16">
        <v>10400</v>
      </c>
    </row>
    <row r="112" spans="1:22" x14ac:dyDescent="0.25">
      <c r="A112" s="4">
        <v>20250805</v>
      </c>
      <c r="B112" s="4">
        <v>15</v>
      </c>
      <c r="C112" s="4">
        <v>4880.6090000000004</v>
      </c>
      <c r="D112" s="4">
        <v>14710.143</v>
      </c>
      <c r="E112" s="5">
        <f t="shared" si="11"/>
        <v>19590.752</v>
      </c>
      <c r="F112" s="5">
        <v>0.2</v>
      </c>
      <c r="G112" s="6">
        <v>3.13</v>
      </c>
      <c r="H112" s="5">
        <f t="shared" si="17"/>
        <v>0.86944444444444435</v>
      </c>
      <c r="I112" s="7">
        <v>557033.18729999999</v>
      </c>
      <c r="J112" s="7">
        <f t="shared" si="12"/>
        <v>96861.882013833325</v>
      </c>
      <c r="K112" s="7">
        <f t="shared" si="13"/>
        <v>77271.130013833317</v>
      </c>
      <c r="L112" s="8">
        <v>120.77</v>
      </c>
      <c r="M112" s="5">
        <f t="shared" si="18"/>
        <v>96.861882013833323</v>
      </c>
      <c r="N112" s="5">
        <v>78014.142900000006</v>
      </c>
      <c r="O112" s="5">
        <f t="shared" si="14"/>
        <v>7556596.7049901336</v>
      </c>
      <c r="P112" s="7">
        <f>(L112+T112)*MAX(0, K112)</f>
        <v>15360275.350714322</v>
      </c>
      <c r="Q112" s="7">
        <f t="shared" si="15"/>
        <v>9332034.3717706501</v>
      </c>
      <c r="R112" s="11">
        <f>P112-Q112</f>
        <v>6028240.978943672</v>
      </c>
      <c r="S112" s="11">
        <f t="shared" si="16"/>
        <v>78.01414290000001</v>
      </c>
      <c r="T112" s="9">
        <f>N112/1000</f>
        <v>78.01414290000001</v>
      </c>
      <c r="U112" s="14">
        <f>T112+L112</f>
        <v>198.78414290000001</v>
      </c>
      <c r="V112" s="16">
        <v>10400</v>
      </c>
    </row>
    <row r="113" spans="1:22" x14ac:dyDescent="0.25">
      <c r="A113" s="4">
        <v>20250805</v>
      </c>
      <c r="B113" s="4">
        <v>16</v>
      </c>
      <c r="C113" s="4">
        <v>5720.9290000000001</v>
      </c>
      <c r="D113" s="4">
        <v>16262.806</v>
      </c>
      <c r="E113" s="5">
        <f t="shared" si="11"/>
        <v>21983.735000000001</v>
      </c>
      <c r="F113" s="5">
        <v>0.2</v>
      </c>
      <c r="G113" s="6">
        <v>2.98</v>
      </c>
      <c r="H113" s="5">
        <f t="shared" si="17"/>
        <v>0.82777777777777772</v>
      </c>
      <c r="I113" s="7">
        <v>557033.18729999999</v>
      </c>
      <c r="J113" s="7">
        <f t="shared" si="12"/>
        <v>92219.938786333325</v>
      </c>
      <c r="K113" s="7">
        <f t="shared" si="13"/>
        <v>70236.203786333324</v>
      </c>
      <c r="L113" s="8">
        <v>124.83</v>
      </c>
      <c r="M113" s="5">
        <f t="shared" si="18"/>
        <v>92.21993878633333</v>
      </c>
      <c r="N113" s="5">
        <v>78014.142900000006</v>
      </c>
      <c r="O113" s="5">
        <f t="shared" si="14"/>
        <v>7194459.4827062618</v>
      </c>
      <c r="P113" s="7">
        <f>(L113+T113)*MAX(0, K113)</f>
        <v>14247002.557588518</v>
      </c>
      <c r="Q113" s="7">
        <f t="shared" si="15"/>
        <v>8767585.3186479881</v>
      </c>
      <c r="R113" s="11">
        <f>P113-Q113</f>
        <v>5479417.2389405295</v>
      </c>
      <c r="S113" s="11">
        <f t="shared" si="16"/>
        <v>78.01414290000001</v>
      </c>
      <c r="T113" s="9">
        <f>N113/1000</f>
        <v>78.01414290000001</v>
      </c>
      <c r="U113" s="14">
        <f>T113+L113</f>
        <v>202.84414290000001</v>
      </c>
      <c r="V113" s="16">
        <v>10400</v>
      </c>
    </row>
    <row r="114" spans="1:22" x14ac:dyDescent="0.25">
      <c r="A114" s="4">
        <v>20250805</v>
      </c>
      <c r="B114" s="4">
        <v>17</v>
      </c>
      <c r="C114" s="4">
        <v>5863.51</v>
      </c>
      <c r="D114" s="4">
        <v>15732.548000000001</v>
      </c>
      <c r="E114" s="5">
        <f t="shared" si="11"/>
        <v>21596.058000000001</v>
      </c>
      <c r="F114" s="5">
        <v>0.2</v>
      </c>
      <c r="G114" s="6">
        <v>2.6</v>
      </c>
      <c r="H114" s="5">
        <f t="shared" si="17"/>
        <v>0.72222222222222221</v>
      </c>
      <c r="I114" s="7">
        <v>557033.18729999999</v>
      </c>
      <c r="J114" s="7">
        <f t="shared" si="12"/>
        <v>80460.34927666666</v>
      </c>
      <c r="K114" s="7">
        <f t="shared" si="13"/>
        <v>58864.291276666656</v>
      </c>
      <c r="L114" s="8">
        <v>125.05</v>
      </c>
      <c r="M114" s="5">
        <f t="shared" si="18"/>
        <v>80.460349276666662</v>
      </c>
      <c r="N114" s="5">
        <v>78014.142900000006</v>
      </c>
      <c r="O114" s="5">
        <f t="shared" si="14"/>
        <v>6277045.1862537852</v>
      </c>
      <c r="P114" s="7">
        <f>(L114+T114)*MAX(0, K114)</f>
        <v>11953226.855512261</v>
      </c>
      <c r="Q114" s="7">
        <f t="shared" si="15"/>
        <v>7360979.6241471656</v>
      </c>
      <c r="R114" s="11">
        <f>P114-Q114</f>
        <v>4592247.2313650958</v>
      </c>
      <c r="S114" s="11">
        <f t="shared" si="16"/>
        <v>78.01414290000001</v>
      </c>
      <c r="T114" s="9">
        <f>N114/1000</f>
        <v>78.01414290000001</v>
      </c>
      <c r="U114" s="14">
        <f>T114+L114</f>
        <v>203.06414290000001</v>
      </c>
      <c r="V114" s="16">
        <v>10400</v>
      </c>
    </row>
    <row r="115" spans="1:22" x14ac:dyDescent="0.25">
      <c r="A115" s="4">
        <v>20250805</v>
      </c>
      <c r="B115" s="4">
        <v>18</v>
      </c>
      <c r="C115" s="4">
        <v>6163.9740000000002</v>
      </c>
      <c r="D115" s="4">
        <v>14831.162</v>
      </c>
      <c r="E115" s="5">
        <f t="shared" si="11"/>
        <v>20995.135999999999</v>
      </c>
      <c r="F115" s="5">
        <v>0.2</v>
      </c>
      <c r="G115" s="6">
        <v>1.6999999999999991</v>
      </c>
      <c r="H115" s="5">
        <f t="shared" si="17"/>
        <v>0.47222222222222193</v>
      </c>
      <c r="I115" s="7">
        <v>557033.18729999999</v>
      </c>
      <c r="J115" s="7">
        <f t="shared" si="12"/>
        <v>52608.689911666632</v>
      </c>
      <c r="K115" s="7">
        <f t="shared" si="13"/>
        <v>31613.553911666633</v>
      </c>
      <c r="L115" s="8">
        <v>125.18</v>
      </c>
      <c r="M115" s="5">
        <f t="shared" si="18"/>
        <v>52.60868991166663</v>
      </c>
      <c r="N115" s="5">
        <v>78014.142900000006</v>
      </c>
      <c r="O115" s="5">
        <f t="shared" si="14"/>
        <v>4104221.852550549</v>
      </c>
      <c r="P115" s="7">
        <f>(L115+T115)*MAX(0, K115)</f>
        <v>6423688.991104045</v>
      </c>
      <c r="Q115" s="7">
        <f t="shared" si="15"/>
        <v>3957384.6786624296</v>
      </c>
      <c r="R115" s="11">
        <f>P115-Q115</f>
        <v>2466304.3124416154</v>
      </c>
      <c r="S115" s="11">
        <f t="shared" si="16"/>
        <v>78.014142899999996</v>
      </c>
      <c r="T115" s="9">
        <f>N115/1000</f>
        <v>78.01414290000001</v>
      </c>
      <c r="U115" s="14">
        <f>T115+L115</f>
        <v>203.19414290000003</v>
      </c>
      <c r="V115" s="16">
        <v>10400</v>
      </c>
    </row>
    <row r="116" spans="1:22" x14ac:dyDescent="0.25">
      <c r="A116" s="4">
        <v>20250805</v>
      </c>
      <c r="B116" s="4">
        <v>19</v>
      </c>
      <c r="C116" s="4">
        <v>6941.8010000000004</v>
      </c>
      <c r="D116" s="4">
        <v>13083.2</v>
      </c>
      <c r="E116" s="5">
        <f t="shared" si="11"/>
        <v>20025.001</v>
      </c>
      <c r="F116" s="5">
        <v>0.2</v>
      </c>
      <c r="G116" s="6">
        <v>0.67999999999999972</v>
      </c>
      <c r="H116" s="5">
        <f t="shared" si="17"/>
        <v>0.1888888888888888</v>
      </c>
      <c r="I116" s="7">
        <v>557033.18729999999</v>
      </c>
      <c r="J116" s="7">
        <f t="shared" si="12"/>
        <v>21043.475964666657</v>
      </c>
      <c r="K116" s="7">
        <f t="shared" si="13"/>
        <v>1018.4749646666569</v>
      </c>
      <c r="L116" s="8">
        <v>125.12</v>
      </c>
      <c r="M116" s="5">
        <f t="shared" si="18"/>
        <v>21.043475964666658</v>
      </c>
      <c r="N116" s="5">
        <v>78014.142900000006</v>
      </c>
      <c r="O116" s="5">
        <f t="shared" si="14"/>
        <v>1641688.7410202201</v>
      </c>
      <c r="P116" s="7">
        <f>(L116+T116)*MAX(0, K116)</f>
        <v>206887.03901266915</v>
      </c>
      <c r="Q116" s="7">
        <f t="shared" si="15"/>
        <v>127431.58757909211</v>
      </c>
      <c r="R116" s="11">
        <f>P116-Q116</f>
        <v>79455.451433577036</v>
      </c>
      <c r="S116" s="11">
        <f t="shared" si="16"/>
        <v>78.01414290000001</v>
      </c>
      <c r="T116" s="9">
        <f>N116/1000</f>
        <v>78.01414290000001</v>
      </c>
      <c r="U116" s="14">
        <f>T116+L116</f>
        <v>203.13414290000003</v>
      </c>
      <c r="V116" s="16">
        <v>10400</v>
      </c>
    </row>
    <row r="117" spans="1:22" x14ac:dyDescent="0.25">
      <c r="A117" s="4">
        <v>20250805</v>
      </c>
      <c r="B117" s="4">
        <v>20</v>
      </c>
      <c r="C117" s="4">
        <v>7405.7470000000003</v>
      </c>
      <c r="D117" s="4">
        <v>12201.984</v>
      </c>
      <c r="E117" s="5">
        <f t="shared" si="11"/>
        <v>19607.731</v>
      </c>
      <c r="F117" s="5">
        <v>0.2</v>
      </c>
      <c r="G117" s="6">
        <v>0.2300000000000004</v>
      </c>
      <c r="H117" s="5">
        <f t="shared" si="17"/>
        <v>6.3888888888888995E-2</v>
      </c>
      <c r="I117" s="7">
        <v>557033.18729999999</v>
      </c>
      <c r="J117" s="7">
        <f t="shared" si="12"/>
        <v>7117.6462821666782</v>
      </c>
      <c r="K117" s="7">
        <f t="shared" si="13"/>
        <v>-12490.084717833321</v>
      </c>
      <c r="L117" s="8">
        <v>125.04</v>
      </c>
      <c r="M117" s="5">
        <f t="shared" si="18"/>
        <v>7.1176462821666782</v>
      </c>
      <c r="N117" s="5">
        <v>78014.142900000006</v>
      </c>
      <c r="O117" s="5">
        <f t="shared" si="14"/>
        <v>555277.07416860503</v>
      </c>
      <c r="P117" s="7">
        <f>(L117+T117)*MAX(0, K117)</f>
        <v>0</v>
      </c>
      <c r="Q117" s="7">
        <f t="shared" si="15"/>
        <v>0</v>
      </c>
      <c r="R117" s="11">
        <f>P117-Q117</f>
        <v>0</v>
      </c>
      <c r="S117" s="11">
        <f t="shared" si="16"/>
        <v>78.01414290000001</v>
      </c>
      <c r="T117" s="9">
        <f>N117/1000</f>
        <v>78.01414290000001</v>
      </c>
      <c r="U117" s="14">
        <f>T117+L117</f>
        <v>203.05414290000002</v>
      </c>
      <c r="V117" s="16">
        <v>10400</v>
      </c>
    </row>
    <row r="118" spans="1:22" x14ac:dyDescent="0.25">
      <c r="A118" s="4">
        <v>20250805</v>
      </c>
      <c r="B118" s="4">
        <v>21</v>
      </c>
      <c r="C118" s="4">
        <v>7360.0259999999998</v>
      </c>
      <c r="D118" s="4">
        <v>10565.528</v>
      </c>
      <c r="E118" s="5">
        <f t="shared" si="11"/>
        <v>17925.554</v>
      </c>
      <c r="F118" s="5">
        <v>0.2</v>
      </c>
      <c r="G118" s="6">
        <v>1.999999999999957E-2</v>
      </c>
      <c r="H118" s="5">
        <f t="shared" si="17"/>
        <v>5.5555555555554361E-3</v>
      </c>
      <c r="I118" s="7">
        <v>557033.18729999999</v>
      </c>
      <c r="J118" s="7">
        <f t="shared" si="12"/>
        <v>618.92576366665332</v>
      </c>
      <c r="K118" s="7">
        <f t="shared" si="13"/>
        <v>-17306.628236333348</v>
      </c>
      <c r="L118" s="8">
        <v>119.21</v>
      </c>
      <c r="M118" s="5">
        <f t="shared" si="18"/>
        <v>0.61892576366665331</v>
      </c>
      <c r="N118" s="5">
        <v>78014.142900000006</v>
      </c>
      <c r="O118" s="5">
        <f t="shared" si="14"/>
        <v>48284.962971181922</v>
      </c>
      <c r="P118" s="7">
        <f>(L118+T118)*MAX(0, K118)</f>
        <v>0</v>
      </c>
      <c r="Q118" s="7">
        <f t="shared" si="15"/>
        <v>0</v>
      </c>
      <c r="R118" s="11">
        <f>P118-Q118</f>
        <v>0</v>
      </c>
      <c r="S118" s="11">
        <f t="shared" si="16"/>
        <v>78.014142899999996</v>
      </c>
      <c r="T118" s="9">
        <f>N118/1000</f>
        <v>78.01414290000001</v>
      </c>
      <c r="U118" s="14">
        <f>T118+L118</f>
        <v>197.2241429</v>
      </c>
      <c r="V118" s="16">
        <v>10400</v>
      </c>
    </row>
    <row r="119" spans="1:22" x14ac:dyDescent="0.25">
      <c r="A119" s="4">
        <v>20250805</v>
      </c>
      <c r="B119" s="4">
        <v>22</v>
      </c>
      <c r="C119" s="4">
        <v>6845.6149999999998</v>
      </c>
      <c r="D119" s="4">
        <v>9433.8919999999998</v>
      </c>
      <c r="E119" s="5">
        <f t="shared" si="11"/>
        <v>16279.507</v>
      </c>
      <c r="F119" s="5">
        <v>0.2</v>
      </c>
      <c r="G119" s="6">
        <v>0</v>
      </c>
      <c r="H119" s="5">
        <f t="shared" si="17"/>
        <v>0</v>
      </c>
      <c r="I119" s="7">
        <v>557033.18729999999</v>
      </c>
      <c r="J119" s="7">
        <f t="shared" si="12"/>
        <v>0</v>
      </c>
      <c r="K119" s="7">
        <f t="shared" si="13"/>
        <v>-16279.507</v>
      </c>
      <c r="L119" s="8">
        <v>118.44</v>
      </c>
      <c r="M119" s="5">
        <f t="shared" si="18"/>
        <v>0</v>
      </c>
      <c r="N119" s="5">
        <v>78014.142900000006</v>
      </c>
      <c r="O119" s="5">
        <f t="shared" si="14"/>
        <v>0</v>
      </c>
      <c r="P119" s="7">
        <f>(L119+T119)*MAX(0, K119)</f>
        <v>0</v>
      </c>
      <c r="Q119" s="7">
        <f t="shared" si="15"/>
        <v>0</v>
      </c>
      <c r="R119" s="11">
        <f>P119-Q119</f>
        <v>0</v>
      </c>
      <c r="S119" s="11">
        <f t="shared" si="16"/>
        <v>0</v>
      </c>
      <c r="T119" s="9">
        <f>N119/1000</f>
        <v>78.01414290000001</v>
      </c>
      <c r="U119" s="14">
        <f>T119+L119</f>
        <v>196.45414290000002</v>
      </c>
      <c r="V119" s="16">
        <v>10400</v>
      </c>
    </row>
    <row r="120" spans="1:22" x14ac:dyDescent="0.25">
      <c r="A120" s="4">
        <v>20250805</v>
      </c>
      <c r="B120" s="4">
        <v>23</v>
      </c>
      <c r="C120" s="4">
        <v>4879.41</v>
      </c>
      <c r="D120" s="4">
        <v>7763.6880000000001</v>
      </c>
      <c r="E120" s="5">
        <f t="shared" si="11"/>
        <v>12643.098</v>
      </c>
      <c r="F120" s="5">
        <v>0.2</v>
      </c>
      <c r="G120" s="6">
        <v>0</v>
      </c>
      <c r="H120" s="5">
        <f t="shared" si="17"/>
        <v>0</v>
      </c>
      <c r="I120" s="7">
        <v>557033.18729999999</v>
      </c>
      <c r="J120" s="7">
        <f t="shared" si="12"/>
        <v>0</v>
      </c>
      <c r="K120" s="7">
        <f t="shared" si="13"/>
        <v>-12643.098</v>
      </c>
      <c r="L120" s="8">
        <v>118.61</v>
      </c>
      <c r="M120" s="5">
        <f t="shared" si="18"/>
        <v>0</v>
      </c>
      <c r="N120" s="5">
        <v>78014.142900000006</v>
      </c>
      <c r="O120" s="5">
        <f t="shared" si="14"/>
        <v>0</v>
      </c>
      <c r="P120" s="7">
        <f>(L120+T120)*MAX(0, K120)</f>
        <v>0</v>
      </c>
      <c r="Q120" s="7">
        <f t="shared" si="15"/>
        <v>0</v>
      </c>
      <c r="R120" s="11">
        <f>P120-Q120</f>
        <v>0</v>
      </c>
      <c r="S120" s="11">
        <f t="shared" si="16"/>
        <v>0</v>
      </c>
      <c r="T120" s="9">
        <f>N120/1000</f>
        <v>78.01414290000001</v>
      </c>
      <c r="U120" s="14">
        <f>T120+L120</f>
        <v>196.62414290000001</v>
      </c>
      <c r="V120" s="16">
        <v>10400</v>
      </c>
    </row>
    <row r="121" spans="1:22" x14ac:dyDescent="0.25">
      <c r="A121" s="4">
        <v>20250805</v>
      </c>
      <c r="B121" s="4">
        <v>24</v>
      </c>
      <c r="C121" s="4">
        <v>5641.4650000000001</v>
      </c>
      <c r="D121" s="4">
        <v>9317.3359999999993</v>
      </c>
      <c r="E121" s="5">
        <f t="shared" si="11"/>
        <v>14958.800999999999</v>
      </c>
      <c r="F121" s="5">
        <v>0.2</v>
      </c>
      <c r="G121" s="6">
        <v>0</v>
      </c>
      <c r="H121" s="5">
        <f t="shared" si="17"/>
        <v>0</v>
      </c>
      <c r="I121" s="7">
        <v>557033.18729999999</v>
      </c>
      <c r="J121" s="7">
        <f t="shared" si="12"/>
        <v>0</v>
      </c>
      <c r="K121" s="7">
        <f t="shared" si="13"/>
        <v>-14958.800999999999</v>
      </c>
      <c r="L121" s="8">
        <v>118.61</v>
      </c>
      <c r="M121" s="5">
        <f t="shared" si="18"/>
        <v>0</v>
      </c>
      <c r="N121" s="5">
        <v>78014.142900000006</v>
      </c>
      <c r="O121" s="5">
        <f t="shared" si="14"/>
        <v>0</v>
      </c>
      <c r="P121" s="7">
        <f>(L121+T121)*MAX(0, K121)</f>
        <v>0</v>
      </c>
      <c r="Q121" s="7">
        <f t="shared" si="15"/>
        <v>0</v>
      </c>
      <c r="R121" s="11">
        <f>P121-Q121</f>
        <v>0</v>
      </c>
      <c r="S121" s="11">
        <f t="shared" si="16"/>
        <v>0</v>
      </c>
      <c r="T121" s="9">
        <f>N121/1000</f>
        <v>78.01414290000001</v>
      </c>
      <c r="U121" s="14">
        <f>T121+L121</f>
        <v>196.62414290000001</v>
      </c>
      <c r="V121" s="16">
        <v>10400</v>
      </c>
    </row>
    <row r="122" spans="1:22" x14ac:dyDescent="0.25">
      <c r="A122" s="4">
        <v>20250806</v>
      </c>
      <c r="B122" s="4">
        <v>1</v>
      </c>
      <c r="C122" s="4">
        <v>5260.0479999999998</v>
      </c>
      <c r="D122" s="4">
        <v>9320.7420000000002</v>
      </c>
      <c r="E122" s="5">
        <f t="shared" si="11"/>
        <v>14580.79</v>
      </c>
      <c r="F122" s="5">
        <v>0.2</v>
      </c>
      <c r="G122" s="6">
        <v>0</v>
      </c>
      <c r="H122" s="5">
        <f t="shared" si="17"/>
        <v>0</v>
      </c>
      <c r="I122" s="7">
        <v>557033.18729999999</v>
      </c>
      <c r="J122" s="7">
        <f t="shared" si="12"/>
        <v>0</v>
      </c>
      <c r="K122" s="7">
        <f t="shared" si="13"/>
        <v>-14580.79</v>
      </c>
      <c r="L122" s="8">
        <v>114.95</v>
      </c>
      <c r="M122" s="5">
        <f t="shared" si="18"/>
        <v>0</v>
      </c>
      <c r="N122" s="5">
        <v>78028.428599999999</v>
      </c>
      <c r="O122" s="5">
        <f t="shared" si="14"/>
        <v>0</v>
      </c>
      <c r="P122" s="7">
        <f>(L122+T122)*MAX(0, K122)</f>
        <v>0</v>
      </c>
      <c r="Q122" s="7">
        <f t="shared" si="15"/>
        <v>0</v>
      </c>
      <c r="R122" s="11">
        <f>P122-Q122</f>
        <v>0</v>
      </c>
      <c r="S122" s="11">
        <f t="shared" si="16"/>
        <v>0</v>
      </c>
      <c r="T122" s="9">
        <f>N122/1000</f>
        <v>78.028428599999998</v>
      </c>
      <c r="U122" s="14">
        <f>T122+L122</f>
        <v>192.9784286</v>
      </c>
      <c r="V122" s="16">
        <v>10400</v>
      </c>
    </row>
    <row r="123" spans="1:22" x14ac:dyDescent="0.25">
      <c r="A123" s="4">
        <v>20250806</v>
      </c>
      <c r="B123" s="4">
        <v>2</v>
      </c>
      <c r="C123" s="4">
        <v>4541.5379999999996</v>
      </c>
      <c r="D123" s="4">
        <v>9210.723</v>
      </c>
      <c r="E123" s="5">
        <f t="shared" si="11"/>
        <v>13752.260999999999</v>
      </c>
      <c r="F123" s="5">
        <v>0.2</v>
      </c>
      <c r="G123" s="6">
        <v>0</v>
      </c>
      <c r="H123" s="5">
        <f t="shared" si="17"/>
        <v>0</v>
      </c>
      <c r="I123" s="7">
        <v>557033.18729999999</v>
      </c>
      <c r="J123" s="7">
        <f t="shared" si="12"/>
        <v>0</v>
      </c>
      <c r="K123" s="7">
        <f t="shared" si="13"/>
        <v>-13752.260999999999</v>
      </c>
      <c r="L123" s="8">
        <v>84.4</v>
      </c>
      <c r="M123" s="5">
        <f t="shared" si="18"/>
        <v>0</v>
      </c>
      <c r="N123" s="5">
        <v>78028.428599999999</v>
      </c>
      <c r="O123" s="5">
        <f t="shared" si="14"/>
        <v>0</v>
      </c>
      <c r="P123" s="7">
        <f>(L123+T123)*MAX(0, K123)</f>
        <v>0</v>
      </c>
      <c r="Q123" s="7">
        <f t="shared" si="15"/>
        <v>0</v>
      </c>
      <c r="R123" s="11">
        <f>P123-Q123</f>
        <v>0</v>
      </c>
      <c r="S123" s="11">
        <f t="shared" si="16"/>
        <v>0</v>
      </c>
      <c r="T123" s="9">
        <f>N123/1000</f>
        <v>78.028428599999998</v>
      </c>
      <c r="U123" s="14">
        <f>T123+L123</f>
        <v>162.42842860000002</v>
      </c>
      <c r="V123" s="16">
        <v>10400</v>
      </c>
    </row>
    <row r="124" spans="1:22" x14ac:dyDescent="0.25">
      <c r="A124" s="4">
        <v>20250806</v>
      </c>
      <c r="B124" s="4">
        <v>3</v>
      </c>
      <c r="C124" s="4">
        <v>4113.0839999999998</v>
      </c>
      <c r="D124" s="4">
        <v>9239.8809999999994</v>
      </c>
      <c r="E124" s="5">
        <f t="shared" si="11"/>
        <v>13352.965</v>
      </c>
      <c r="F124" s="5">
        <v>0.2</v>
      </c>
      <c r="G124" s="6">
        <v>0</v>
      </c>
      <c r="H124" s="5">
        <f t="shared" si="17"/>
        <v>0</v>
      </c>
      <c r="I124" s="7">
        <v>557033.18729999999</v>
      </c>
      <c r="J124" s="7">
        <f t="shared" si="12"/>
        <v>0</v>
      </c>
      <c r="K124" s="7">
        <f t="shared" si="13"/>
        <v>-13352.965</v>
      </c>
      <c r="L124" s="8">
        <v>84.38</v>
      </c>
      <c r="M124" s="5">
        <f t="shared" si="18"/>
        <v>0</v>
      </c>
      <c r="N124" s="5">
        <v>78028.428599999999</v>
      </c>
      <c r="O124" s="5">
        <f t="shared" si="14"/>
        <v>0</v>
      </c>
      <c r="P124" s="7">
        <f>(L124+T124)*MAX(0, K124)</f>
        <v>0</v>
      </c>
      <c r="Q124" s="7">
        <f t="shared" si="15"/>
        <v>0</v>
      </c>
      <c r="R124" s="11">
        <f>P124-Q124</f>
        <v>0</v>
      </c>
      <c r="S124" s="11">
        <f t="shared" si="16"/>
        <v>0</v>
      </c>
      <c r="T124" s="9">
        <f>N124/1000</f>
        <v>78.028428599999998</v>
      </c>
      <c r="U124" s="14">
        <f>T124+L124</f>
        <v>162.40842859999998</v>
      </c>
      <c r="V124" s="16">
        <v>10400</v>
      </c>
    </row>
    <row r="125" spans="1:22" x14ac:dyDescent="0.25">
      <c r="A125" s="4">
        <v>20250806</v>
      </c>
      <c r="B125" s="4">
        <v>4</v>
      </c>
      <c r="C125" s="4">
        <v>3902.0149999999999</v>
      </c>
      <c r="D125" s="4">
        <v>9473.5349999999999</v>
      </c>
      <c r="E125" s="5">
        <f t="shared" si="11"/>
        <v>13375.55</v>
      </c>
      <c r="F125" s="5">
        <v>0.2</v>
      </c>
      <c r="G125" s="6">
        <v>0</v>
      </c>
      <c r="H125" s="5">
        <f t="shared" si="17"/>
        <v>0</v>
      </c>
      <c r="I125" s="7">
        <v>557033.18729999999</v>
      </c>
      <c r="J125" s="7">
        <f t="shared" si="12"/>
        <v>0</v>
      </c>
      <c r="K125" s="7">
        <f t="shared" si="13"/>
        <v>-13375.55</v>
      </c>
      <c r="L125" s="8">
        <v>84.37</v>
      </c>
      <c r="M125" s="5">
        <f t="shared" si="18"/>
        <v>0</v>
      </c>
      <c r="N125" s="5">
        <v>78028.428599999999</v>
      </c>
      <c r="O125" s="5">
        <f t="shared" si="14"/>
        <v>0</v>
      </c>
      <c r="P125" s="7">
        <f>(L125+T125)*MAX(0, K125)</f>
        <v>0</v>
      </c>
      <c r="Q125" s="7">
        <f t="shared" si="15"/>
        <v>0</v>
      </c>
      <c r="R125" s="11">
        <f>P125-Q125</f>
        <v>0</v>
      </c>
      <c r="S125" s="11">
        <f t="shared" si="16"/>
        <v>0</v>
      </c>
      <c r="T125" s="9">
        <f>N125/1000</f>
        <v>78.028428599999998</v>
      </c>
      <c r="U125" s="14">
        <f>T125+L125</f>
        <v>162.39842859999999</v>
      </c>
      <c r="V125" s="16">
        <v>10400</v>
      </c>
    </row>
    <row r="126" spans="1:22" x14ac:dyDescent="0.25">
      <c r="A126" s="4">
        <v>20250806</v>
      </c>
      <c r="B126" s="4">
        <v>5</v>
      </c>
      <c r="C126" s="4">
        <v>3788.7649999999999</v>
      </c>
      <c r="D126" s="4">
        <v>9620.4419999999991</v>
      </c>
      <c r="E126" s="5">
        <f t="shared" si="11"/>
        <v>13409.206999999999</v>
      </c>
      <c r="F126" s="5">
        <v>0.2</v>
      </c>
      <c r="G126" s="6">
        <v>0</v>
      </c>
      <c r="H126" s="5">
        <f t="shared" si="17"/>
        <v>0</v>
      </c>
      <c r="I126" s="7">
        <v>557033.18729999999</v>
      </c>
      <c r="J126" s="7">
        <f t="shared" si="12"/>
        <v>0</v>
      </c>
      <c r="K126" s="7">
        <f t="shared" si="13"/>
        <v>-13409.206999999999</v>
      </c>
      <c r="L126" s="8">
        <v>84.38</v>
      </c>
      <c r="M126" s="5">
        <f t="shared" si="18"/>
        <v>0</v>
      </c>
      <c r="N126" s="5">
        <v>78028.428599999999</v>
      </c>
      <c r="O126" s="5">
        <f t="shared" si="14"/>
        <v>0</v>
      </c>
      <c r="P126" s="7">
        <f>(L126+T126)*MAX(0, K126)</f>
        <v>0</v>
      </c>
      <c r="Q126" s="7">
        <f t="shared" si="15"/>
        <v>0</v>
      </c>
      <c r="R126" s="11">
        <f>P126-Q126</f>
        <v>0</v>
      </c>
      <c r="S126" s="11">
        <f t="shared" si="16"/>
        <v>0</v>
      </c>
      <c r="T126" s="9">
        <f>N126/1000</f>
        <v>78.028428599999998</v>
      </c>
      <c r="U126" s="14">
        <f>T126+L126</f>
        <v>162.40842859999998</v>
      </c>
      <c r="V126" s="16">
        <v>10400</v>
      </c>
    </row>
    <row r="127" spans="1:22" x14ac:dyDescent="0.25">
      <c r="A127" s="4">
        <v>20250806</v>
      </c>
      <c r="B127" s="4">
        <v>6</v>
      </c>
      <c r="C127" s="4">
        <v>3805.701</v>
      </c>
      <c r="D127" s="4">
        <v>9830.0810000000001</v>
      </c>
      <c r="E127" s="5">
        <f t="shared" si="11"/>
        <v>13635.781999999999</v>
      </c>
      <c r="F127" s="5">
        <v>0.2</v>
      </c>
      <c r="G127" s="6">
        <v>0</v>
      </c>
      <c r="H127" s="5">
        <f t="shared" si="17"/>
        <v>0</v>
      </c>
      <c r="I127" s="7">
        <v>557033.18729999999</v>
      </c>
      <c r="J127" s="7">
        <f t="shared" si="12"/>
        <v>0</v>
      </c>
      <c r="K127" s="7">
        <f t="shared" si="13"/>
        <v>-13635.781999999999</v>
      </c>
      <c r="L127" s="8">
        <v>84.36</v>
      </c>
      <c r="M127" s="5">
        <f t="shared" si="18"/>
        <v>0</v>
      </c>
      <c r="N127" s="5">
        <v>78028.428599999999</v>
      </c>
      <c r="O127" s="5">
        <f t="shared" si="14"/>
        <v>0</v>
      </c>
      <c r="P127" s="7">
        <f>(L127+T127)*MAX(0, K127)</f>
        <v>0</v>
      </c>
      <c r="Q127" s="7">
        <f t="shared" si="15"/>
        <v>0</v>
      </c>
      <c r="R127" s="11">
        <f>P127-Q127</f>
        <v>0</v>
      </c>
      <c r="S127" s="11">
        <f t="shared" si="16"/>
        <v>0</v>
      </c>
      <c r="T127" s="9">
        <f>N127/1000</f>
        <v>78.028428599999998</v>
      </c>
      <c r="U127" s="14">
        <f>T127+L127</f>
        <v>162.3884286</v>
      </c>
      <c r="V127" s="16">
        <v>10400</v>
      </c>
    </row>
    <row r="128" spans="1:22" x14ac:dyDescent="0.25">
      <c r="A128" s="4">
        <v>20250806</v>
      </c>
      <c r="B128" s="4">
        <v>7</v>
      </c>
      <c r="C128" s="4">
        <v>4185.1400000000003</v>
      </c>
      <c r="D128" s="4">
        <v>10492.96</v>
      </c>
      <c r="E128" s="5">
        <f t="shared" si="11"/>
        <v>14678.099999999999</v>
      </c>
      <c r="F128" s="5">
        <v>0.2</v>
      </c>
      <c r="G128" s="6">
        <v>0</v>
      </c>
      <c r="H128" s="5">
        <f t="shared" si="17"/>
        <v>0</v>
      </c>
      <c r="I128" s="7">
        <v>557033.18729999999</v>
      </c>
      <c r="J128" s="7">
        <f t="shared" si="12"/>
        <v>0</v>
      </c>
      <c r="K128" s="7">
        <f t="shared" si="13"/>
        <v>-14678.099999999999</v>
      </c>
      <c r="L128" s="8">
        <v>116.04</v>
      </c>
      <c r="M128" s="5">
        <f t="shared" si="18"/>
        <v>0</v>
      </c>
      <c r="N128" s="5">
        <v>78028.428599999999</v>
      </c>
      <c r="O128" s="5">
        <f t="shared" si="14"/>
        <v>0</v>
      </c>
      <c r="P128" s="7">
        <f>(L128+T128)*MAX(0, K128)</f>
        <v>0</v>
      </c>
      <c r="Q128" s="7">
        <f t="shared" si="15"/>
        <v>0</v>
      </c>
      <c r="R128" s="11">
        <f>P128-Q128</f>
        <v>0</v>
      </c>
      <c r="S128" s="11">
        <f t="shared" si="16"/>
        <v>0</v>
      </c>
      <c r="T128" s="9">
        <f>N128/1000</f>
        <v>78.028428599999998</v>
      </c>
      <c r="U128" s="14">
        <f>T128+L128</f>
        <v>194.0684286</v>
      </c>
      <c r="V128" s="16">
        <v>10400</v>
      </c>
    </row>
    <row r="129" spans="1:22" x14ac:dyDescent="0.25">
      <c r="A129" s="4">
        <v>20250806</v>
      </c>
      <c r="B129" s="4">
        <v>8</v>
      </c>
      <c r="C129" s="4">
        <v>4655.0140000000001</v>
      </c>
      <c r="D129" s="4">
        <v>12569.02</v>
      </c>
      <c r="E129" s="5">
        <f t="shared" si="11"/>
        <v>17224.034</v>
      </c>
      <c r="F129" s="5">
        <v>0.2</v>
      </c>
      <c r="G129" s="6">
        <v>0.05</v>
      </c>
      <c r="H129" s="5">
        <f t="shared" si="17"/>
        <v>1.388888888888889E-2</v>
      </c>
      <c r="I129" s="7">
        <v>557033.18729999999</v>
      </c>
      <c r="J129" s="7">
        <f t="shared" si="12"/>
        <v>1547.3144091666668</v>
      </c>
      <c r="K129" s="7">
        <f t="shared" si="13"/>
        <v>-15676.719590833332</v>
      </c>
      <c r="L129" s="8">
        <v>118.27</v>
      </c>
      <c r="M129" s="5">
        <f t="shared" si="18"/>
        <v>1.5473144091666668</v>
      </c>
      <c r="N129" s="5">
        <v>78028.428599999999</v>
      </c>
      <c r="O129" s="5">
        <f t="shared" si="14"/>
        <v>120734.51189741245</v>
      </c>
      <c r="P129" s="7">
        <f>(L129+T129)*MAX(0, K129)</f>
        <v>0</v>
      </c>
      <c r="Q129" s="7">
        <f t="shared" si="15"/>
        <v>0</v>
      </c>
      <c r="R129" s="11">
        <f>P129-Q129</f>
        <v>0</v>
      </c>
      <c r="S129" s="11">
        <f t="shared" si="16"/>
        <v>78.028428599999998</v>
      </c>
      <c r="T129" s="9">
        <f>N129/1000</f>
        <v>78.028428599999998</v>
      </c>
      <c r="U129" s="14">
        <f>T129+L129</f>
        <v>196.29842859999999</v>
      </c>
      <c r="V129" s="16">
        <v>10400</v>
      </c>
    </row>
    <row r="130" spans="1:22" x14ac:dyDescent="0.25">
      <c r="A130" s="4">
        <v>20250806</v>
      </c>
      <c r="B130" s="4">
        <v>9</v>
      </c>
      <c r="C130" s="4">
        <v>5015.8819999999996</v>
      </c>
      <c r="D130" s="4">
        <v>14926.637000000001</v>
      </c>
      <c r="E130" s="5">
        <f t="shared" si="11"/>
        <v>19942.519</v>
      </c>
      <c r="F130" s="5">
        <v>0.2</v>
      </c>
      <c r="G130" s="6">
        <v>0.11</v>
      </c>
      <c r="H130" s="5">
        <f t="shared" si="17"/>
        <v>3.0555555555555555E-2</v>
      </c>
      <c r="I130" s="7">
        <v>557033.18729999999</v>
      </c>
      <c r="J130" s="7">
        <f t="shared" si="12"/>
        <v>3404.0917001666667</v>
      </c>
      <c r="K130" s="7">
        <f t="shared" si="13"/>
        <v>-16538.427299833333</v>
      </c>
      <c r="L130" s="8">
        <v>127.74</v>
      </c>
      <c r="M130" s="5">
        <f t="shared" ref="M130:M161" si="19" xml:space="preserve"> J130/1000</f>
        <v>3.4040917001666666</v>
      </c>
      <c r="N130" s="5">
        <v>78028.428599999999</v>
      </c>
      <c r="O130" s="5">
        <f t="shared" si="14"/>
        <v>265615.92617430736</v>
      </c>
      <c r="P130" s="7">
        <f>(L130+T130)*MAX(0, K130)</f>
        <v>0</v>
      </c>
      <c r="Q130" s="7">
        <f t="shared" si="15"/>
        <v>0</v>
      </c>
      <c r="R130" s="11">
        <f>P130-Q130</f>
        <v>0</v>
      </c>
      <c r="S130" s="11">
        <f t="shared" si="16"/>
        <v>78.028428599999998</v>
      </c>
      <c r="T130" s="9">
        <f>N130/1000</f>
        <v>78.028428599999998</v>
      </c>
      <c r="U130" s="14">
        <f>T130+L130</f>
        <v>205.76842859999999</v>
      </c>
      <c r="V130" s="16">
        <v>10400</v>
      </c>
    </row>
    <row r="131" spans="1:22" x14ac:dyDescent="0.25">
      <c r="A131" s="4">
        <v>20250806</v>
      </c>
      <c r="B131" s="4">
        <v>10</v>
      </c>
      <c r="C131" s="4">
        <v>5170.7120000000004</v>
      </c>
      <c r="D131" s="4">
        <v>16328.297</v>
      </c>
      <c r="E131" s="5">
        <f t="shared" ref="E131:E169" si="20">SUM(C131:D131)</f>
        <v>21499.009000000002</v>
      </c>
      <c r="F131" s="5">
        <v>0.2</v>
      </c>
      <c r="G131" s="6">
        <v>0.41999999999999987</v>
      </c>
      <c r="H131" s="5">
        <f t="shared" si="17"/>
        <v>0.11666666666666663</v>
      </c>
      <c r="I131" s="7">
        <v>557033.18729999999</v>
      </c>
      <c r="J131" s="7">
        <f t="shared" ref="J131:J169" si="21">F131*I131*H131</f>
        <v>12997.441036999995</v>
      </c>
      <c r="K131" s="7">
        <f t="shared" ref="K131:K169" si="22">J131-E131</f>
        <v>-8501.5679630000068</v>
      </c>
      <c r="L131" s="8">
        <v>118.97</v>
      </c>
      <c r="M131" s="5">
        <f t="shared" si="19"/>
        <v>12.997441036999994</v>
      </c>
      <c r="N131" s="5">
        <v>78028.428599999999</v>
      </c>
      <c r="O131" s="5">
        <f t="shared" ref="O131:O169" si="23">M131*N131</f>
        <v>1014169.899938264</v>
      </c>
      <c r="P131" s="7">
        <f>(L131+T131)*MAX(0, K131)</f>
        <v>0</v>
      </c>
      <c r="Q131" s="7">
        <f t="shared" ref="Q131:Q169" si="24">L131*MAX(0, K131)</f>
        <v>0</v>
      </c>
      <c r="R131" s="11">
        <f>P131-Q131</f>
        <v>0</v>
      </c>
      <c r="S131" s="11">
        <f t="shared" ref="S131:S169" si="25">M131*N131/MAX(0.1, J131)</f>
        <v>78.028428599999998</v>
      </c>
      <c r="T131" s="9">
        <f>N131/1000</f>
        <v>78.028428599999998</v>
      </c>
      <c r="U131" s="14">
        <f>T131+L131</f>
        <v>196.99842860000001</v>
      </c>
      <c r="V131" s="16">
        <v>10400</v>
      </c>
    </row>
    <row r="132" spans="1:22" x14ac:dyDescent="0.25">
      <c r="A132" s="4">
        <v>20250806</v>
      </c>
      <c r="B132" s="4">
        <v>11</v>
      </c>
      <c r="C132" s="4">
        <v>5236.0259999999998</v>
      </c>
      <c r="D132" s="4">
        <v>16310.404</v>
      </c>
      <c r="E132" s="5">
        <f t="shared" si="20"/>
        <v>21546.43</v>
      </c>
      <c r="F132" s="5">
        <v>0.2</v>
      </c>
      <c r="G132" s="6">
        <v>0.78000000000000014</v>
      </c>
      <c r="H132" s="5">
        <f t="shared" si="17"/>
        <v>0.2166666666666667</v>
      </c>
      <c r="I132" s="7">
        <v>557033.18729999999</v>
      </c>
      <c r="J132" s="7">
        <f t="shared" si="21"/>
        <v>24138.104783000002</v>
      </c>
      <c r="K132" s="7">
        <f t="shared" si="22"/>
        <v>2591.6747830000022</v>
      </c>
      <c r="L132" s="8">
        <v>118.97</v>
      </c>
      <c r="M132" s="5">
        <f t="shared" si="19"/>
        <v>24.138104783000003</v>
      </c>
      <c r="N132" s="5">
        <v>78028.428599999999</v>
      </c>
      <c r="O132" s="5">
        <f t="shared" si="23"/>
        <v>1883458.3855996341</v>
      </c>
      <c r="P132" s="7">
        <f>(L132+T132)*MAX(0, K132)</f>
        <v>510555.85969324649</v>
      </c>
      <c r="Q132" s="7">
        <f t="shared" si="24"/>
        <v>308331.54893351026</v>
      </c>
      <c r="R132" s="11">
        <f>P132-Q132</f>
        <v>202224.31075973623</v>
      </c>
      <c r="S132" s="11">
        <f t="shared" si="25"/>
        <v>78.028428599999998</v>
      </c>
      <c r="T132" s="9">
        <f>N132/1000</f>
        <v>78.028428599999998</v>
      </c>
      <c r="U132" s="14">
        <f>T132+L132</f>
        <v>196.99842860000001</v>
      </c>
      <c r="V132" s="16">
        <v>10400</v>
      </c>
    </row>
    <row r="133" spans="1:22" x14ac:dyDescent="0.25">
      <c r="A133" s="4">
        <v>20250806</v>
      </c>
      <c r="B133" s="4">
        <v>12</v>
      </c>
      <c r="C133" s="4">
        <v>5611.8810000000003</v>
      </c>
      <c r="D133" s="4">
        <v>16053.308999999999</v>
      </c>
      <c r="E133" s="5">
        <f t="shared" si="20"/>
        <v>21665.19</v>
      </c>
      <c r="F133" s="5">
        <v>0.2</v>
      </c>
      <c r="G133" s="6">
        <v>0.97</v>
      </c>
      <c r="H133" s="5">
        <f t="shared" si="17"/>
        <v>0.26944444444444443</v>
      </c>
      <c r="I133" s="7">
        <v>557033.18729999999</v>
      </c>
      <c r="J133" s="7">
        <f t="shared" si="21"/>
        <v>30017.899537833331</v>
      </c>
      <c r="K133" s="7">
        <f t="shared" si="22"/>
        <v>8352.7095378333324</v>
      </c>
      <c r="L133" s="8">
        <v>118.97</v>
      </c>
      <c r="M133" s="5">
        <f t="shared" si="19"/>
        <v>30.01789953783333</v>
      </c>
      <c r="N133" s="5">
        <v>78028.428599999999</v>
      </c>
      <c r="O133" s="5">
        <f t="shared" si="23"/>
        <v>2342249.5308098011</v>
      </c>
      <c r="P133" s="7">
        <f>(L133+T133)*MAX(0, K133)</f>
        <v>1645470.6535053989</v>
      </c>
      <c r="Q133" s="7">
        <f t="shared" si="24"/>
        <v>993721.85371603153</v>
      </c>
      <c r="R133" s="11">
        <f>P133-Q133</f>
        <v>651748.79978936736</v>
      </c>
      <c r="S133" s="11">
        <f t="shared" si="25"/>
        <v>78.028428599999998</v>
      </c>
      <c r="T133" s="9">
        <f>N133/1000</f>
        <v>78.028428599999998</v>
      </c>
      <c r="U133" s="14">
        <f>T133+L133</f>
        <v>196.99842860000001</v>
      </c>
      <c r="V133" s="16">
        <v>10400</v>
      </c>
    </row>
    <row r="134" spans="1:22" x14ac:dyDescent="0.25">
      <c r="A134" s="4">
        <v>20250806</v>
      </c>
      <c r="B134" s="4">
        <v>13</v>
      </c>
      <c r="C134" s="4">
        <v>5903.2510000000002</v>
      </c>
      <c r="D134" s="4">
        <v>15288.266</v>
      </c>
      <c r="E134" s="5">
        <f t="shared" si="20"/>
        <v>21191.517</v>
      </c>
      <c r="F134" s="5">
        <v>0.2</v>
      </c>
      <c r="G134" s="6">
        <v>0.56000000000000005</v>
      </c>
      <c r="H134" s="5">
        <f t="shared" si="17"/>
        <v>0.15555555555555556</v>
      </c>
      <c r="I134" s="7">
        <v>557033.18729999999</v>
      </c>
      <c r="J134" s="7">
        <f t="shared" si="21"/>
        <v>17329.921382666667</v>
      </c>
      <c r="K134" s="7">
        <f t="shared" si="22"/>
        <v>-3861.5956173333325</v>
      </c>
      <c r="L134" s="8">
        <v>118.1</v>
      </c>
      <c r="M134" s="5">
        <f t="shared" si="19"/>
        <v>17.329921382666669</v>
      </c>
      <c r="N134" s="5">
        <v>78028.428599999999</v>
      </c>
      <c r="O134" s="5">
        <f t="shared" si="23"/>
        <v>1352226.5332510194</v>
      </c>
      <c r="P134" s="7">
        <f>(L134+T134)*MAX(0, K134)</f>
        <v>0</v>
      </c>
      <c r="Q134" s="7">
        <f t="shared" si="24"/>
        <v>0</v>
      </c>
      <c r="R134" s="11">
        <f>P134-Q134</f>
        <v>0</v>
      </c>
      <c r="S134" s="11">
        <f t="shared" si="25"/>
        <v>78.028428600000012</v>
      </c>
      <c r="T134" s="9">
        <f>N134/1000</f>
        <v>78.028428599999998</v>
      </c>
      <c r="U134" s="14">
        <f>T134+L134</f>
        <v>196.12842860000001</v>
      </c>
      <c r="V134" s="16">
        <v>10400</v>
      </c>
    </row>
    <row r="135" spans="1:22" x14ac:dyDescent="0.25">
      <c r="A135" s="4">
        <v>20250806</v>
      </c>
      <c r="B135" s="4">
        <v>14</v>
      </c>
      <c r="C135" s="4">
        <v>5629.6729999999998</v>
      </c>
      <c r="D135" s="4">
        <v>15430.855</v>
      </c>
      <c r="E135" s="5">
        <f t="shared" si="20"/>
        <v>21060.527999999998</v>
      </c>
      <c r="F135" s="5">
        <v>0.2</v>
      </c>
      <c r="G135" s="6">
        <v>0.98999999999999977</v>
      </c>
      <c r="H135" s="5">
        <f t="shared" si="17"/>
        <v>0.27499999999999991</v>
      </c>
      <c r="I135" s="7">
        <v>557033.18729999999</v>
      </c>
      <c r="J135" s="7">
        <f t="shared" si="21"/>
        <v>30636.82530149999</v>
      </c>
      <c r="K135" s="7">
        <f t="shared" si="22"/>
        <v>9576.2973014999916</v>
      </c>
      <c r="L135" s="8">
        <v>120.38</v>
      </c>
      <c r="M135" s="5">
        <f t="shared" si="19"/>
        <v>30.636825301499989</v>
      </c>
      <c r="N135" s="5">
        <v>78028.428599999999</v>
      </c>
      <c r="O135" s="5">
        <f t="shared" si="23"/>
        <v>2390543.3355687652</v>
      </c>
      <c r="P135" s="7">
        <f>(L135+T135)*MAX(0, K135)</f>
        <v>1900018.0993970335</v>
      </c>
      <c r="Q135" s="7">
        <f t="shared" si="24"/>
        <v>1152794.669154569</v>
      </c>
      <c r="R135" s="11">
        <f>P135-Q135</f>
        <v>747223.43024246441</v>
      </c>
      <c r="S135" s="11">
        <f t="shared" si="25"/>
        <v>78.028428599999998</v>
      </c>
      <c r="T135" s="9">
        <f>N135/1000</f>
        <v>78.028428599999998</v>
      </c>
      <c r="U135" s="14">
        <f>T135+L135</f>
        <v>198.40842859999998</v>
      </c>
      <c r="V135" s="16">
        <v>10400</v>
      </c>
    </row>
    <row r="136" spans="1:22" x14ac:dyDescent="0.25">
      <c r="A136" s="4">
        <v>20250806</v>
      </c>
      <c r="B136" s="4">
        <v>15</v>
      </c>
      <c r="C136" s="4">
        <v>5317.8860000000004</v>
      </c>
      <c r="D136" s="4">
        <v>15575.362999999999</v>
      </c>
      <c r="E136" s="5">
        <f t="shared" si="20"/>
        <v>20893.249</v>
      </c>
      <c r="F136" s="5">
        <v>0.2</v>
      </c>
      <c r="G136" s="6">
        <v>0.46</v>
      </c>
      <c r="H136" s="5">
        <f t="shared" si="17"/>
        <v>0.12777777777777777</v>
      </c>
      <c r="I136" s="7">
        <v>557033.18729999999</v>
      </c>
      <c r="J136" s="7">
        <f t="shared" si="21"/>
        <v>14235.292564333333</v>
      </c>
      <c r="K136" s="7">
        <f t="shared" si="22"/>
        <v>-6657.9564356666669</v>
      </c>
      <c r="L136" s="8">
        <v>125.52</v>
      </c>
      <c r="M136" s="5">
        <f t="shared" si="19"/>
        <v>14.235292564333333</v>
      </c>
      <c r="N136" s="5">
        <v>78028.428599999999</v>
      </c>
      <c r="O136" s="5">
        <f t="shared" si="23"/>
        <v>1110757.5094561945</v>
      </c>
      <c r="P136" s="7">
        <f>(L136+T136)*MAX(0, K136)</f>
        <v>0</v>
      </c>
      <c r="Q136" s="7">
        <f t="shared" si="24"/>
        <v>0</v>
      </c>
      <c r="R136" s="11">
        <f>P136-Q136</f>
        <v>0</v>
      </c>
      <c r="S136" s="11">
        <f t="shared" si="25"/>
        <v>78.028428600000012</v>
      </c>
      <c r="T136" s="9">
        <f>N136/1000</f>
        <v>78.028428599999998</v>
      </c>
      <c r="U136" s="14">
        <f>T136+L136</f>
        <v>203.54842859999999</v>
      </c>
      <c r="V136" s="16">
        <v>10400</v>
      </c>
    </row>
    <row r="137" spans="1:22" x14ac:dyDescent="0.25">
      <c r="A137" s="4">
        <v>20250806</v>
      </c>
      <c r="B137" s="4">
        <v>16</v>
      </c>
      <c r="C137" s="4">
        <v>5242.7960000000003</v>
      </c>
      <c r="D137" s="4">
        <v>15205.48</v>
      </c>
      <c r="E137" s="5">
        <f t="shared" si="20"/>
        <v>20448.275999999998</v>
      </c>
      <c r="F137" s="5">
        <v>0.2</v>
      </c>
      <c r="G137" s="6">
        <v>0.25</v>
      </c>
      <c r="H137" s="5">
        <f t="shared" si="17"/>
        <v>6.9444444444444448E-2</v>
      </c>
      <c r="I137" s="7">
        <v>557033.18729999999</v>
      </c>
      <c r="J137" s="7">
        <f t="shared" si="21"/>
        <v>7736.5720458333335</v>
      </c>
      <c r="K137" s="7">
        <f t="shared" si="22"/>
        <v>-12711.703954166664</v>
      </c>
      <c r="L137" s="8">
        <v>135.43</v>
      </c>
      <c r="M137" s="5">
        <f t="shared" si="19"/>
        <v>7.7365720458333334</v>
      </c>
      <c r="N137" s="5">
        <v>78028.428599999999</v>
      </c>
      <c r="O137" s="5">
        <f t="shared" si="23"/>
        <v>603672.55948706216</v>
      </c>
      <c r="P137" s="7">
        <f>(L137+T137)*MAX(0, K137)</f>
        <v>0</v>
      </c>
      <c r="Q137" s="7">
        <f t="shared" si="24"/>
        <v>0</v>
      </c>
      <c r="R137" s="11">
        <f>P137-Q137</f>
        <v>0</v>
      </c>
      <c r="S137" s="11">
        <f t="shared" si="25"/>
        <v>78.028428599999998</v>
      </c>
      <c r="T137" s="9">
        <f>N137/1000</f>
        <v>78.028428599999998</v>
      </c>
      <c r="U137" s="14">
        <f>T137+L137</f>
        <v>213.45842859999999</v>
      </c>
      <c r="V137" s="16">
        <v>10400</v>
      </c>
    </row>
    <row r="138" spans="1:22" x14ac:dyDescent="0.25">
      <c r="A138" s="4">
        <v>20250806</v>
      </c>
      <c r="B138" s="4">
        <v>17</v>
      </c>
      <c r="C138" s="4">
        <v>5517.3280000000004</v>
      </c>
      <c r="D138" s="4">
        <v>15031.734</v>
      </c>
      <c r="E138" s="5">
        <f t="shared" si="20"/>
        <v>20549.062000000002</v>
      </c>
      <c r="F138" s="5">
        <v>0.2</v>
      </c>
      <c r="G138" s="6">
        <v>0.2300000000000004</v>
      </c>
      <c r="H138" s="5">
        <f t="shared" si="17"/>
        <v>6.3888888888888995E-2</v>
      </c>
      <c r="I138" s="7">
        <v>557033.18729999999</v>
      </c>
      <c r="J138" s="7">
        <f t="shared" si="21"/>
        <v>7117.6462821666782</v>
      </c>
      <c r="K138" s="7">
        <f t="shared" si="22"/>
        <v>-13431.415717833323</v>
      </c>
      <c r="L138" s="8">
        <v>123.62</v>
      </c>
      <c r="M138" s="5">
        <f t="shared" si="19"/>
        <v>7.1176462821666782</v>
      </c>
      <c r="N138" s="5">
        <v>78028.428599999999</v>
      </c>
      <c r="O138" s="5">
        <f t="shared" si="23"/>
        <v>555378.75472809805</v>
      </c>
      <c r="P138" s="7">
        <f>(L138+T138)*MAX(0, K138)</f>
        <v>0</v>
      </c>
      <c r="Q138" s="7">
        <f t="shared" si="24"/>
        <v>0</v>
      </c>
      <c r="R138" s="11">
        <f>P138-Q138</f>
        <v>0</v>
      </c>
      <c r="S138" s="11">
        <f t="shared" si="25"/>
        <v>78.028428599999998</v>
      </c>
      <c r="T138" s="9">
        <f>N138/1000</f>
        <v>78.028428599999998</v>
      </c>
      <c r="U138" s="14">
        <f>T138+L138</f>
        <v>201.64842859999999</v>
      </c>
      <c r="V138" s="16">
        <v>10400</v>
      </c>
    </row>
    <row r="139" spans="1:22" x14ac:dyDescent="0.25">
      <c r="A139" s="4">
        <v>20250806</v>
      </c>
      <c r="B139" s="4">
        <v>18</v>
      </c>
      <c r="C139" s="4">
        <v>6048.0190000000002</v>
      </c>
      <c r="D139" s="4">
        <v>14032.876</v>
      </c>
      <c r="E139" s="5">
        <f t="shared" si="20"/>
        <v>20080.895</v>
      </c>
      <c r="F139" s="5">
        <v>0.2</v>
      </c>
      <c r="G139" s="6">
        <v>0.37000000000000011</v>
      </c>
      <c r="H139" s="5">
        <f t="shared" ref="H139:H169" si="26">G139/3.6</f>
        <v>0.1027777777777778</v>
      </c>
      <c r="I139" s="7">
        <v>557033.18729999999</v>
      </c>
      <c r="J139" s="7">
        <f t="shared" si="21"/>
        <v>11450.126627833335</v>
      </c>
      <c r="K139" s="7">
        <f t="shared" si="22"/>
        <v>-8630.7683721666654</v>
      </c>
      <c r="L139" s="8">
        <v>119.69</v>
      </c>
      <c r="M139" s="5">
        <f t="shared" si="19"/>
        <v>11.450126627833335</v>
      </c>
      <c r="N139" s="5">
        <v>78028.428599999999</v>
      </c>
      <c r="O139" s="5">
        <f t="shared" si="23"/>
        <v>893435.38804085215</v>
      </c>
      <c r="P139" s="7">
        <f>(L139+T139)*MAX(0, K139)</f>
        <v>0</v>
      </c>
      <c r="Q139" s="7">
        <f t="shared" si="24"/>
        <v>0</v>
      </c>
      <c r="R139" s="11">
        <f>P139-Q139</f>
        <v>0</v>
      </c>
      <c r="S139" s="11">
        <f t="shared" si="25"/>
        <v>78.028428599999998</v>
      </c>
      <c r="T139" s="9">
        <f>N139/1000</f>
        <v>78.028428599999998</v>
      </c>
      <c r="U139" s="14">
        <f>T139+L139</f>
        <v>197.71842859999998</v>
      </c>
      <c r="V139" s="16">
        <v>10400</v>
      </c>
    </row>
    <row r="140" spans="1:22" x14ac:dyDescent="0.25">
      <c r="A140" s="4">
        <v>20250806</v>
      </c>
      <c r="B140" s="4">
        <v>19</v>
      </c>
      <c r="C140" s="4">
        <v>6862.3209999999999</v>
      </c>
      <c r="D140" s="4">
        <v>11862.045</v>
      </c>
      <c r="E140" s="5">
        <f t="shared" si="20"/>
        <v>18724.366000000002</v>
      </c>
      <c r="F140" s="5">
        <v>0.2</v>
      </c>
      <c r="G140" s="6">
        <v>0.26999999999999957</v>
      </c>
      <c r="H140" s="5">
        <f t="shared" si="26"/>
        <v>7.4999999999999886E-2</v>
      </c>
      <c r="I140" s="7">
        <v>557033.18729999999</v>
      </c>
      <c r="J140" s="7">
        <f t="shared" si="21"/>
        <v>8355.4978094999879</v>
      </c>
      <c r="K140" s="7">
        <f t="shared" si="22"/>
        <v>-10368.868190500014</v>
      </c>
      <c r="L140" s="8">
        <v>119.64</v>
      </c>
      <c r="M140" s="5">
        <f t="shared" si="19"/>
        <v>8.3554978094999885</v>
      </c>
      <c r="N140" s="5">
        <v>78028.428599999999</v>
      </c>
      <c r="O140" s="5">
        <f t="shared" si="23"/>
        <v>651966.36424602626</v>
      </c>
      <c r="P140" s="7">
        <f>(L140+T140)*MAX(0, K140)</f>
        <v>0</v>
      </c>
      <c r="Q140" s="7">
        <f t="shared" si="24"/>
        <v>0</v>
      </c>
      <c r="R140" s="11">
        <f>P140-Q140</f>
        <v>0</v>
      </c>
      <c r="S140" s="11">
        <f t="shared" si="25"/>
        <v>78.028428600000012</v>
      </c>
      <c r="T140" s="9">
        <f>N140/1000</f>
        <v>78.028428599999998</v>
      </c>
      <c r="U140" s="14">
        <f>T140+L140</f>
        <v>197.6684286</v>
      </c>
      <c r="V140" s="16">
        <v>10400</v>
      </c>
    </row>
    <row r="141" spans="1:22" x14ac:dyDescent="0.25">
      <c r="A141" s="4">
        <v>20250806</v>
      </c>
      <c r="B141" s="4">
        <v>20</v>
      </c>
      <c r="C141" s="4">
        <v>6869.2049999999999</v>
      </c>
      <c r="D141" s="4">
        <v>10889.383</v>
      </c>
      <c r="E141" s="5">
        <f t="shared" si="20"/>
        <v>17758.588</v>
      </c>
      <c r="F141" s="5">
        <v>0.2</v>
      </c>
      <c r="G141" s="6">
        <v>0.28999999999999998</v>
      </c>
      <c r="H141" s="5">
        <f t="shared" si="26"/>
        <v>8.0555555555555547E-2</v>
      </c>
      <c r="I141" s="7">
        <v>557033.18729999999</v>
      </c>
      <c r="J141" s="7">
        <f t="shared" si="21"/>
        <v>8974.4235731666649</v>
      </c>
      <c r="K141" s="7">
        <f t="shared" si="22"/>
        <v>-8784.1644268333348</v>
      </c>
      <c r="L141" s="8">
        <v>119.64</v>
      </c>
      <c r="M141" s="5">
        <f t="shared" si="19"/>
        <v>8.9744235731666642</v>
      </c>
      <c r="N141" s="5">
        <v>78028.428599999999</v>
      </c>
      <c r="O141" s="5">
        <f t="shared" si="23"/>
        <v>700260.16900499188</v>
      </c>
      <c r="P141" s="7">
        <f>(L141+T141)*MAX(0, K141)</f>
        <v>0</v>
      </c>
      <c r="Q141" s="7">
        <f t="shared" si="24"/>
        <v>0</v>
      </c>
      <c r="R141" s="11">
        <f>P141-Q141</f>
        <v>0</v>
      </c>
      <c r="S141" s="11">
        <f t="shared" si="25"/>
        <v>78.028428599999984</v>
      </c>
      <c r="T141" s="9">
        <f>N141/1000</f>
        <v>78.028428599999998</v>
      </c>
      <c r="U141" s="14">
        <f>T141+L141</f>
        <v>197.6684286</v>
      </c>
      <c r="V141" s="16">
        <v>10400</v>
      </c>
    </row>
    <row r="142" spans="1:22" x14ac:dyDescent="0.25">
      <c r="A142" s="4">
        <v>20250806</v>
      </c>
      <c r="B142" s="4">
        <v>21</v>
      </c>
      <c r="C142" s="4">
        <v>6898.7370000000001</v>
      </c>
      <c r="D142" s="4">
        <v>10002.343000000001</v>
      </c>
      <c r="E142" s="5">
        <f t="shared" si="20"/>
        <v>16901.080000000002</v>
      </c>
      <c r="F142" s="5">
        <v>0.2</v>
      </c>
      <c r="G142" s="6">
        <v>5.9999999999999609E-2</v>
      </c>
      <c r="H142" s="5">
        <f t="shared" si="26"/>
        <v>1.6666666666666559E-2</v>
      </c>
      <c r="I142" s="7">
        <v>557033.18729999999</v>
      </c>
      <c r="J142" s="7">
        <f t="shared" si="21"/>
        <v>1856.7772909999881</v>
      </c>
      <c r="K142" s="7">
        <f t="shared" si="22"/>
        <v>-15044.302709000014</v>
      </c>
      <c r="L142" s="8">
        <v>119.21</v>
      </c>
      <c r="M142" s="5">
        <f t="shared" si="19"/>
        <v>1.856777290999988</v>
      </c>
      <c r="N142" s="5">
        <v>78028.428599999999</v>
      </c>
      <c r="O142" s="5">
        <f t="shared" si="23"/>
        <v>144881.41427689398</v>
      </c>
      <c r="P142" s="7">
        <f>(L142+T142)*MAX(0, K142)</f>
        <v>0</v>
      </c>
      <c r="Q142" s="7">
        <f t="shared" si="24"/>
        <v>0</v>
      </c>
      <c r="R142" s="11">
        <f>P142-Q142</f>
        <v>0</v>
      </c>
      <c r="S142" s="11">
        <f t="shared" si="25"/>
        <v>78.028428599999998</v>
      </c>
      <c r="T142" s="9">
        <f>N142/1000</f>
        <v>78.028428599999998</v>
      </c>
      <c r="U142" s="14">
        <f>T142+L142</f>
        <v>197.23842859999999</v>
      </c>
      <c r="V142" s="16">
        <v>10400</v>
      </c>
    </row>
    <row r="143" spans="1:22" x14ac:dyDescent="0.25">
      <c r="A143" s="4">
        <v>20250806</v>
      </c>
      <c r="B143" s="4">
        <v>22</v>
      </c>
      <c r="C143" s="4">
        <v>6711.1909999999998</v>
      </c>
      <c r="D143" s="4">
        <v>9624.616</v>
      </c>
      <c r="E143" s="5">
        <f t="shared" si="20"/>
        <v>16335.807000000001</v>
      </c>
      <c r="F143" s="5">
        <v>0.2</v>
      </c>
      <c r="G143" s="6">
        <v>0</v>
      </c>
      <c r="H143" s="5">
        <f t="shared" si="26"/>
        <v>0</v>
      </c>
      <c r="I143" s="7">
        <v>557033.18729999999</v>
      </c>
      <c r="J143" s="7">
        <f t="shared" si="21"/>
        <v>0</v>
      </c>
      <c r="K143" s="7">
        <f t="shared" si="22"/>
        <v>-16335.807000000001</v>
      </c>
      <c r="L143" s="8">
        <v>119.6</v>
      </c>
      <c r="M143" s="5">
        <f t="shared" si="19"/>
        <v>0</v>
      </c>
      <c r="N143" s="5">
        <v>78028.428599999999</v>
      </c>
      <c r="O143" s="5">
        <f t="shared" si="23"/>
        <v>0</v>
      </c>
      <c r="P143" s="7">
        <f>(L143+T143)*MAX(0, K143)</f>
        <v>0</v>
      </c>
      <c r="Q143" s="7">
        <f t="shared" si="24"/>
        <v>0</v>
      </c>
      <c r="R143" s="11">
        <f>P143-Q143</f>
        <v>0</v>
      </c>
      <c r="S143" s="11">
        <f t="shared" si="25"/>
        <v>0</v>
      </c>
      <c r="T143" s="9">
        <f>N143/1000</f>
        <v>78.028428599999998</v>
      </c>
      <c r="U143" s="14">
        <f>T143+L143</f>
        <v>197.62842860000001</v>
      </c>
      <c r="V143" s="16">
        <v>10400</v>
      </c>
    </row>
    <row r="144" spans="1:22" x14ac:dyDescent="0.25">
      <c r="A144" s="4">
        <v>20250806</v>
      </c>
      <c r="B144" s="4">
        <v>23</v>
      </c>
      <c r="C144" s="4">
        <v>6278.7150000000001</v>
      </c>
      <c r="D144" s="4">
        <v>9349.1929999999993</v>
      </c>
      <c r="E144" s="5">
        <f t="shared" si="20"/>
        <v>15627.907999999999</v>
      </c>
      <c r="F144" s="5">
        <v>0.2</v>
      </c>
      <c r="G144" s="6">
        <v>0</v>
      </c>
      <c r="H144" s="5">
        <f t="shared" si="26"/>
        <v>0</v>
      </c>
      <c r="I144" s="7">
        <v>557033.18729999999</v>
      </c>
      <c r="J144" s="7">
        <f t="shared" si="21"/>
        <v>0</v>
      </c>
      <c r="K144" s="7">
        <f t="shared" si="22"/>
        <v>-15627.907999999999</v>
      </c>
      <c r="L144" s="8">
        <v>118.27</v>
      </c>
      <c r="M144" s="5">
        <f t="shared" si="19"/>
        <v>0</v>
      </c>
      <c r="N144" s="5">
        <v>78028.428599999999</v>
      </c>
      <c r="O144" s="5">
        <f t="shared" si="23"/>
        <v>0</v>
      </c>
      <c r="P144" s="7">
        <f>(L144+T144)*MAX(0, K144)</f>
        <v>0</v>
      </c>
      <c r="Q144" s="7">
        <f t="shared" si="24"/>
        <v>0</v>
      </c>
      <c r="R144" s="11">
        <f>P144-Q144</f>
        <v>0</v>
      </c>
      <c r="S144" s="11">
        <f t="shared" si="25"/>
        <v>0</v>
      </c>
      <c r="T144" s="9">
        <f>N144/1000</f>
        <v>78.028428599999998</v>
      </c>
      <c r="U144" s="14">
        <f>T144+L144</f>
        <v>196.29842859999999</v>
      </c>
      <c r="V144" s="16">
        <v>10400</v>
      </c>
    </row>
    <row r="145" spans="1:22" x14ac:dyDescent="0.25">
      <c r="A145" s="4">
        <v>20250806</v>
      </c>
      <c r="B145" s="4">
        <v>24</v>
      </c>
      <c r="C145" s="4">
        <v>5434.335</v>
      </c>
      <c r="D145" s="4">
        <v>9170.5190000000002</v>
      </c>
      <c r="E145" s="5">
        <f t="shared" si="20"/>
        <v>14604.853999999999</v>
      </c>
      <c r="F145" s="5">
        <v>0.2</v>
      </c>
      <c r="G145" s="6">
        <v>0</v>
      </c>
      <c r="H145" s="5">
        <f t="shared" si="26"/>
        <v>0</v>
      </c>
      <c r="I145" s="7">
        <v>557033.18729999999</v>
      </c>
      <c r="J145" s="7">
        <f t="shared" si="21"/>
        <v>0</v>
      </c>
      <c r="K145" s="7">
        <f t="shared" si="22"/>
        <v>-14604.853999999999</v>
      </c>
      <c r="L145" s="8">
        <v>118.43</v>
      </c>
      <c r="M145" s="5">
        <f t="shared" si="19"/>
        <v>0</v>
      </c>
      <c r="N145" s="5">
        <v>78028.428599999999</v>
      </c>
      <c r="O145" s="5">
        <f t="shared" si="23"/>
        <v>0</v>
      </c>
      <c r="P145" s="7">
        <f>(L145+T145)*MAX(0, K145)</f>
        <v>0</v>
      </c>
      <c r="Q145" s="7">
        <f t="shared" si="24"/>
        <v>0</v>
      </c>
      <c r="R145" s="11">
        <f>P145-Q145</f>
        <v>0</v>
      </c>
      <c r="S145" s="11">
        <f t="shared" si="25"/>
        <v>0</v>
      </c>
      <c r="T145" s="9">
        <f>N145/1000</f>
        <v>78.028428599999998</v>
      </c>
      <c r="U145" s="14">
        <f>T145+L145</f>
        <v>196.45842859999999</v>
      </c>
      <c r="V145" s="16">
        <v>10400</v>
      </c>
    </row>
    <row r="146" spans="1:22" x14ac:dyDescent="0.25">
      <c r="A146" s="4">
        <v>20250807</v>
      </c>
      <c r="B146" s="4">
        <v>1</v>
      </c>
      <c r="C146" s="4">
        <v>4922.0749999999998</v>
      </c>
      <c r="D146" s="4">
        <v>9252.3179999999993</v>
      </c>
      <c r="E146" s="5">
        <f t="shared" si="20"/>
        <v>14174.393</v>
      </c>
      <c r="F146" s="5">
        <v>0.2</v>
      </c>
      <c r="G146" s="6">
        <v>0</v>
      </c>
      <c r="H146" s="5">
        <f t="shared" si="26"/>
        <v>0</v>
      </c>
      <c r="I146" s="7">
        <v>557033.18729999999</v>
      </c>
      <c r="J146" s="7">
        <f t="shared" si="21"/>
        <v>0</v>
      </c>
      <c r="K146" s="7">
        <f t="shared" si="22"/>
        <v>-14174.393</v>
      </c>
      <c r="L146" s="8">
        <v>114.5</v>
      </c>
      <c r="M146" s="5">
        <f t="shared" si="19"/>
        <v>0</v>
      </c>
      <c r="N146" s="5">
        <v>78042.714300000007</v>
      </c>
      <c r="O146" s="5">
        <f t="shared" si="23"/>
        <v>0</v>
      </c>
      <c r="P146" s="7">
        <f>(L146+T146)*MAX(0, K146)</f>
        <v>0</v>
      </c>
      <c r="Q146" s="7">
        <f t="shared" si="24"/>
        <v>0</v>
      </c>
      <c r="R146" s="11">
        <f>P146-Q146</f>
        <v>0</v>
      </c>
      <c r="S146" s="11">
        <f t="shared" si="25"/>
        <v>0</v>
      </c>
      <c r="T146" s="9">
        <f>N146/1000</f>
        <v>78.0427143</v>
      </c>
      <c r="U146" s="14">
        <f>T146+L146</f>
        <v>192.5427143</v>
      </c>
      <c r="V146" s="16">
        <v>10400</v>
      </c>
    </row>
    <row r="147" spans="1:22" x14ac:dyDescent="0.25">
      <c r="A147" s="4">
        <v>20250807</v>
      </c>
      <c r="B147" s="4">
        <v>2</v>
      </c>
      <c r="C147" s="4">
        <v>4260.9080000000004</v>
      </c>
      <c r="D147" s="4">
        <v>9182.2530000000006</v>
      </c>
      <c r="E147" s="5">
        <f t="shared" si="20"/>
        <v>13443.161</v>
      </c>
      <c r="F147" s="5">
        <v>0.2</v>
      </c>
      <c r="G147" s="6">
        <v>0</v>
      </c>
      <c r="H147" s="5">
        <f t="shared" si="26"/>
        <v>0</v>
      </c>
      <c r="I147" s="7">
        <v>557033.18729999999</v>
      </c>
      <c r="J147" s="7">
        <f t="shared" si="21"/>
        <v>0</v>
      </c>
      <c r="K147" s="7">
        <f t="shared" si="22"/>
        <v>-13443.161</v>
      </c>
      <c r="L147" s="8">
        <v>85.47</v>
      </c>
      <c r="M147" s="5">
        <f t="shared" si="19"/>
        <v>0</v>
      </c>
      <c r="N147" s="5">
        <v>78042.714300000007</v>
      </c>
      <c r="O147" s="5">
        <f t="shared" si="23"/>
        <v>0</v>
      </c>
      <c r="P147" s="7">
        <f>(L147+T147)*MAX(0, K147)</f>
        <v>0</v>
      </c>
      <c r="Q147" s="7">
        <f t="shared" si="24"/>
        <v>0</v>
      </c>
      <c r="R147" s="11">
        <f>P147-Q147</f>
        <v>0</v>
      </c>
      <c r="S147" s="11">
        <f t="shared" si="25"/>
        <v>0</v>
      </c>
      <c r="T147" s="9">
        <f>N147/1000</f>
        <v>78.0427143</v>
      </c>
      <c r="U147" s="14">
        <f>T147+L147</f>
        <v>163.5127143</v>
      </c>
      <c r="V147" s="16">
        <v>10400</v>
      </c>
    </row>
    <row r="148" spans="1:22" x14ac:dyDescent="0.25">
      <c r="A148" s="4">
        <v>20250807</v>
      </c>
      <c r="B148" s="4">
        <v>3</v>
      </c>
      <c r="C148" s="4">
        <v>3836.5949999999998</v>
      </c>
      <c r="D148" s="4">
        <v>9208.2540000000008</v>
      </c>
      <c r="E148" s="5">
        <f t="shared" si="20"/>
        <v>13044.849</v>
      </c>
      <c r="F148" s="5">
        <v>0.2</v>
      </c>
      <c r="G148" s="6">
        <v>0</v>
      </c>
      <c r="H148" s="5">
        <f t="shared" si="26"/>
        <v>0</v>
      </c>
      <c r="I148" s="7">
        <v>557033.18729999999</v>
      </c>
      <c r="J148" s="7">
        <f t="shared" si="21"/>
        <v>0</v>
      </c>
      <c r="K148" s="7">
        <f t="shared" si="22"/>
        <v>-13044.849</v>
      </c>
      <c r="L148" s="8">
        <v>81.87</v>
      </c>
      <c r="M148" s="5">
        <f t="shared" si="19"/>
        <v>0</v>
      </c>
      <c r="N148" s="5">
        <v>78042.714300000007</v>
      </c>
      <c r="O148" s="5">
        <f t="shared" si="23"/>
        <v>0</v>
      </c>
      <c r="P148" s="7">
        <f>(L148+T148)*MAX(0, K148)</f>
        <v>0</v>
      </c>
      <c r="Q148" s="7">
        <f t="shared" si="24"/>
        <v>0</v>
      </c>
      <c r="R148" s="11">
        <f>P148-Q148</f>
        <v>0</v>
      </c>
      <c r="S148" s="11">
        <f t="shared" si="25"/>
        <v>0</v>
      </c>
      <c r="T148" s="9">
        <f>N148/1000</f>
        <v>78.0427143</v>
      </c>
      <c r="U148" s="14">
        <f>T148+L148</f>
        <v>159.9127143</v>
      </c>
      <c r="V148" s="16">
        <v>10400</v>
      </c>
    </row>
    <row r="149" spans="1:22" x14ac:dyDescent="0.25">
      <c r="A149" s="4">
        <v>20250807</v>
      </c>
      <c r="B149" s="4">
        <v>4</v>
      </c>
      <c r="C149" s="4">
        <v>3579.9470000000001</v>
      </c>
      <c r="D149" s="4">
        <v>9230.9110000000001</v>
      </c>
      <c r="E149" s="5">
        <f t="shared" si="20"/>
        <v>12810.858</v>
      </c>
      <c r="F149" s="5">
        <v>0.2</v>
      </c>
      <c r="G149" s="6">
        <v>0</v>
      </c>
      <c r="H149" s="5">
        <f t="shared" si="26"/>
        <v>0</v>
      </c>
      <c r="I149" s="7">
        <v>557033.18729999999</v>
      </c>
      <c r="J149" s="7">
        <f t="shared" si="21"/>
        <v>0</v>
      </c>
      <c r="K149" s="7">
        <f t="shared" si="22"/>
        <v>-12810.858</v>
      </c>
      <c r="L149" s="8">
        <v>81.87</v>
      </c>
      <c r="M149" s="5">
        <f t="shared" si="19"/>
        <v>0</v>
      </c>
      <c r="N149" s="5">
        <v>78042.714300000007</v>
      </c>
      <c r="O149" s="5">
        <f t="shared" si="23"/>
        <v>0</v>
      </c>
      <c r="P149" s="7">
        <f>(L149+T149)*MAX(0, K149)</f>
        <v>0</v>
      </c>
      <c r="Q149" s="7">
        <f t="shared" si="24"/>
        <v>0</v>
      </c>
      <c r="R149" s="11">
        <f>P149-Q149</f>
        <v>0</v>
      </c>
      <c r="S149" s="11">
        <f t="shared" si="25"/>
        <v>0</v>
      </c>
      <c r="T149" s="9">
        <f>N149/1000</f>
        <v>78.0427143</v>
      </c>
      <c r="U149" s="14">
        <f>T149+L149</f>
        <v>159.9127143</v>
      </c>
      <c r="V149" s="16">
        <v>10400</v>
      </c>
    </row>
    <row r="150" spans="1:22" x14ac:dyDescent="0.25">
      <c r="A150" s="4">
        <v>20250807</v>
      </c>
      <c r="B150" s="4">
        <v>5</v>
      </c>
      <c r="C150" s="4">
        <v>3444.1579999999999</v>
      </c>
      <c r="D150" s="4">
        <v>9430.3919999999998</v>
      </c>
      <c r="E150" s="5">
        <f t="shared" si="20"/>
        <v>12874.55</v>
      </c>
      <c r="F150" s="5">
        <v>0.2</v>
      </c>
      <c r="G150" s="6">
        <v>0</v>
      </c>
      <c r="H150" s="5">
        <f t="shared" si="26"/>
        <v>0</v>
      </c>
      <c r="I150" s="7">
        <v>557033.18729999999</v>
      </c>
      <c r="J150" s="7">
        <f t="shared" si="21"/>
        <v>0</v>
      </c>
      <c r="K150" s="7">
        <f t="shared" si="22"/>
        <v>-12874.55</v>
      </c>
      <c r="L150" s="8">
        <v>81.87</v>
      </c>
      <c r="M150" s="5">
        <f t="shared" si="19"/>
        <v>0</v>
      </c>
      <c r="N150" s="5">
        <v>78042.714300000007</v>
      </c>
      <c r="O150" s="5">
        <f t="shared" si="23"/>
        <v>0</v>
      </c>
      <c r="P150" s="7">
        <f>(L150+T150)*MAX(0, K150)</f>
        <v>0</v>
      </c>
      <c r="Q150" s="7">
        <f t="shared" si="24"/>
        <v>0</v>
      </c>
      <c r="R150" s="11">
        <f>P150-Q150</f>
        <v>0</v>
      </c>
      <c r="S150" s="11">
        <f t="shared" si="25"/>
        <v>0</v>
      </c>
      <c r="T150" s="9">
        <f>N150/1000</f>
        <v>78.0427143</v>
      </c>
      <c r="U150" s="14">
        <f>T150+L150</f>
        <v>159.9127143</v>
      </c>
      <c r="V150" s="16">
        <v>10400</v>
      </c>
    </row>
    <row r="151" spans="1:22" x14ac:dyDescent="0.25">
      <c r="A151" s="4">
        <v>20250807</v>
      </c>
      <c r="B151" s="4">
        <v>6</v>
      </c>
      <c r="C151" s="4">
        <v>3486.3429999999998</v>
      </c>
      <c r="D151" s="4">
        <v>9657.39</v>
      </c>
      <c r="E151" s="5">
        <f t="shared" si="20"/>
        <v>13143.733</v>
      </c>
      <c r="F151" s="5">
        <v>0.2</v>
      </c>
      <c r="G151" s="6">
        <v>0</v>
      </c>
      <c r="H151" s="5">
        <f t="shared" si="26"/>
        <v>0</v>
      </c>
      <c r="I151" s="7">
        <v>557033.18729999999</v>
      </c>
      <c r="J151" s="7">
        <f t="shared" si="21"/>
        <v>0</v>
      </c>
      <c r="K151" s="7">
        <f t="shared" si="22"/>
        <v>-13143.733</v>
      </c>
      <c r="L151" s="8">
        <v>81.87</v>
      </c>
      <c r="M151" s="5">
        <f t="shared" si="19"/>
        <v>0</v>
      </c>
      <c r="N151" s="5">
        <v>78042.714300000007</v>
      </c>
      <c r="O151" s="5">
        <f t="shared" si="23"/>
        <v>0</v>
      </c>
      <c r="P151" s="7">
        <f>(L151+T151)*MAX(0, K151)</f>
        <v>0</v>
      </c>
      <c r="Q151" s="7">
        <f t="shared" si="24"/>
        <v>0</v>
      </c>
      <c r="R151" s="11">
        <f>P151-Q151</f>
        <v>0</v>
      </c>
      <c r="S151" s="11">
        <f t="shared" si="25"/>
        <v>0</v>
      </c>
      <c r="T151" s="9">
        <f>N151/1000</f>
        <v>78.0427143</v>
      </c>
      <c r="U151" s="14">
        <f>T151+L151</f>
        <v>159.9127143</v>
      </c>
      <c r="V151" s="16">
        <v>10400</v>
      </c>
    </row>
    <row r="152" spans="1:22" x14ac:dyDescent="0.25">
      <c r="A152" s="4">
        <v>20250807</v>
      </c>
      <c r="B152" s="4">
        <v>7</v>
      </c>
      <c r="C152" s="4">
        <v>3866.136</v>
      </c>
      <c r="D152" s="4">
        <v>10256.370000000001</v>
      </c>
      <c r="E152" s="5">
        <f t="shared" si="20"/>
        <v>14122.506000000001</v>
      </c>
      <c r="F152" s="5">
        <v>0.2</v>
      </c>
      <c r="G152" s="6">
        <v>0</v>
      </c>
      <c r="H152" s="5">
        <f t="shared" si="26"/>
        <v>0</v>
      </c>
      <c r="I152" s="7">
        <v>557033.18729999999</v>
      </c>
      <c r="J152" s="7">
        <f t="shared" si="21"/>
        <v>0</v>
      </c>
      <c r="K152" s="7">
        <f t="shared" si="22"/>
        <v>-14122.506000000001</v>
      </c>
      <c r="L152" s="8">
        <v>114.5</v>
      </c>
      <c r="M152" s="5">
        <f t="shared" si="19"/>
        <v>0</v>
      </c>
      <c r="N152" s="5">
        <v>78042.714300000007</v>
      </c>
      <c r="O152" s="5">
        <f t="shared" si="23"/>
        <v>0</v>
      </c>
      <c r="P152" s="7">
        <f>(L152+T152)*MAX(0, K152)</f>
        <v>0</v>
      </c>
      <c r="Q152" s="7">
        <f t="shared" si="24"/>
        <v>0</v>
      </c>
      <c r="R152" s="11">
        <f>P152-Q152</f>
        <v>0</v>
      </c>
      <c r="S152" s="11">
        <f t="shared" si="25"/>
        <v>0</v>
      </c>
      <c r="T152" s="9">
        <f>N152/1000</f>
        <v>78.0427143</v>
      </c>
      <c r="U152" s="14">
        <f>T152+L152</f>
        <v>192.5427143</v>
      </c>
      <c r="V152" s="16">
        <v>10400</v>
      </c>
    </row>
    <row r="153" spans="1:22" x14ac:dyDescent="0.25">
      <c r="A153" s="4">
        <v>20250807</v>
      </c>
      <c r="B153" s="4">
        <v>8</v>
      </c>
      <c r="C153" s="4">
        <v>4352.3069999999998</v>
      </c>
      <c r="D153" s="4">
        <v>12304.136</v>
      </c>
      <c r="E153" s="5">
        <f t="shared" si="20"/>
        <v>16656.442999999999</v>
      </c>
      <c r="F153" s="5">
        <v>0.2</v>
      </c>
      <c r="G153" s="6">
        <v>0.12</v>
      </c>
      <c r="H153" s="5">
        <f t="shared" si="26"/>
        <v>3.3333333333333333E-2</v>
      </c>
      <c r="I153" s="7">
        <v>557033.18729999999</v>
      </c>
      <c r="J153" s="7">
        <f t="shared" si="21"/>
        <v>3713.5545819999998</v>
      </c>
      <c r="K153" s="7">
        <f t="shared" si="22"/>
        <v>-12942.888417999999</v>
      </c>
      <c r="L153" s="8">
        <v>120.01</v>
      </c>
      <c r="M153" s="5">
        <f t="shared" si="19"/>
        <v>3.7135545819999995</v>
      </c>
      <c r="N153" s="5">
        <v>78042.714300000007</v>
      </c>
      <c r="O153" s="5">
        <f t="shared" si="23"/>
        <v>289815.87928048189</v>
      </c>
      <c r="P153" s="7">
        <f>(L153+T153)*MAX(0, K153)</f>
        <v>0</v>
      </c>
      <c r="Q153" s="7">
        <f t="shared" si="24"/>
        <v>0</v>
      </c>
      <c r="R153" s="11">
        <f>P153-Q153</f>
        <v>0</v>
      </c>
      <c r="S153" s="11">
        <f t="shared" si="25"/>
        <v>78.0427143</v>
      </c>
      <c r="T153" s="9">
        <f>N153/1000</f>
        <v>78.0427143</v>
      </c>
      <c r="U153" s="14">
        <f>T153+L153</f>
        <v>198.05271429999999</v>
      </c>
      <c r="V153" s="16">
        <v>10400</v>
      </c>
    </row>
    <row r="154" spans="1:22" x14ac:dyDescent="0.25">
      <c r="A154" s="4">
        <v>20250807</v>
      </c>
      <c r="B154" s="4">
        <v>9</v>
      </c>
      <c r="C154" s="4">
        <v>4807.1279999999997</v>
      </c>
      <c r="D154" s="4">
        <v>14546.311</v>
      </c>
      <c r="E154" s="5">
        <f t="shared" si="20"/>
        <v>19353.438999999998</v>
      </c>
      <c r="F154" s="5">
        <v>0.2</v>
      </c>
      <c r="G154" s="6">
        <v>0.4</v>
      </c>
      <c r="H154" s="5">
        <f t="shared" si="26"/>
        <v>0.11111111111111112</v>
      </c>
      <c r="I154" s="7">
        <v>557033.18729999999</v>
      </c>
      <c r="J154" s="7">
        <f t="shared" si="21"/>
        <v>12378.515273333334</v>
      </c>
      <c r="K154" s="7">
        <f t="shared" si="22"/>
        <v>-6974.9237266666642</v>
      </c>
      <c r="L154" s="8">
        <v>123.19</v>
      </c>
      <c r="M154" s="5">
        <f t="shared" si="19"/>
        <v>12.378515273333335</v>
      </c>
      <c r="N154" s="5">
        <v>78042.714300000007</v>
      </c>
      <c r="O154" s="5">
        <f t="shared" si="23"/>
        <v>966052.93093494</v>
      </c>
      <c r="P154" s="7">
        <f>(L154+T154)*MAX(0, K154)</f>
        <v>0</v>
      </c>
      <c r="Q154" s="7">
        <f t="shared" si="24"/>
        <v>0</v>
      </c>
      <c r="R154" s="11">
        <f>P154-Q154</f>
        <v>0</v>
      </c>
      <c r="S154" s="11">
        <f t="shared" si="25"/>
        <v>78.042714300000014</v>
      </c>
      <c r="T154" s="9">
        <f>N154/1000</f>
        <v>78.0427143</v>
      </c>
      <c r="U154" s="14">
        <f>T154+L154</f>
        <v>201.2327143</v>
      </c>
      <c r="V154" s="16">
        <v>10400</v>
      </c>
    </row>
    <row r="155" spans="1:22" x14ac:dyDescent="0.25">
      <c r="A155" s="4">
        <v>20250807</v>
      </c>
      <c r="B155" s="4">
        <v>10</v>
      </c>
      <c r="C155" s="4">
        <v>4994.41</v>
      </c>
      <c r="D155" s="4">
        <v>16098.790999999999</v>
      </c>
      <c r="E155" s="5">
        <f t="shared" si="20"/>
        <v>21093.201000000001</v>
      </c>
      <c r="F155" s="5">
        <v>0.2</v>
      </c>
      <c r="G155" s="6">
        <v>0.43999999999999989</v>
      </c>
      <c r="H155" s="5">
        <f t="shared" si="26"/>
        <v>0.12222222222222219</v>
      </c>
      <c r="I155" s="7">
        <v>557033.18729999999</v>
      </c>
      <c r="J155" s="7">
        <f t="shared" si="21"/>
        <v>13616.366800666663</v>
      </c>
      <c r="K155" s="7">
        <f t="shared" si="22"/>
        <v>-7476.8341993333379</v>
      </c>
      <c r="L155" s="8">
        <v>121.26</v>
      </c>
      <c r="M155" s="5">
        <f t="shared" si="19"/>
        <v>13.616366800666663</v>
      </c>
      <c r="N155" s="5">
        <v>78042.714300000007</v>
      </c>
      <c r="O155" s="5">
        <f t="shared" si="23"/>
        <v>1062658.2240284334</v>
      </c>
      <c r="P155" s="7">
        <f>(L155+T155)*MAX(0, K155)</f>
        <v>0</v>
      </c>
      <c r="Q155" s="7">
        <f t="shared" si="24"/>
        <v>0</v>
      </c>
      <c r="R155" s="11">
        <f>P155-Q155</f>
        <v>0</v>
      </c>
      <c r="S155" s="11">
        <f t="shared" si="25"/>
        <v>78.0427143</v>
      </c>
      <c r="T155" s="9">
        <f>N155/1000</f>
        <v>78.0427143</v>
      </c>
      <c r="U155" s="14">
        <f>T155+L155</f>
        <v>199.30271429999999</v>
      </c>
      <c r="V155" s="16">
        <v>10400</v>
      </c>
    </row>
    <row r="156" spans="1:22" x14ac:dyDescent="0.25">
      <c r="A156" s="4">
        <v>20250807</v>
      </c>
      <c r="B156" s="4">
        <v>11</v>
      </c>
      <c r="C156" s="4">
        <v>4916.701</v>
      </c>
      <c r="D156" s="4">
        <v>16186.492</v>
      </c>
      <c r="E156" s="5">
        <f t="shared" si="20"/>
        <v>21103.192999999999</v>
      </c>
      <c r="F156" s="5">
        <v>0.2</v>
      </c>
      <c r="G156" s="6">
        <v>0.65000000000000013</v>
      </c>
      <c r="H156" s="5">
        <f t="shared" si="26"/>
        <v>0.18055555555555558</v>
      </c>
      <c r="I156" s="7">
        <v>557033.18729999999</v>
      </c>
      <c r="J156" s="7">
        <f t="shared" si="21"/>
        <v>20115.087319166669</v>
      </c>
      <c r="K156" s="7">
        <f t="shared" si="22"/>
        <v>-988.10568083333055</v>
      </c>
      <c r="L156" s="8">
        <v>124.25</v>
      </c>
      <c r="M156" s="5">
        <f t="shared" si="19"/>
        <v>20.115087319166669</v>
      </c>
      <c r="N156" s="5">
        <v>78042.714300000007</v>
      </c>
      <c r="O156" s="5">
        <f t="shared" si="23"/>
        <v>1569836.0127692774</v>
      </c>
      <c r="P156" s="7">
        <f>(L156+T156)*MAX(0, K156)</f>
        <v>0</v>
      </c>
      <c r="Q156" s="7">
        <f t="shared" si="24"/>
        <v>0</v>
      </c>
      <c r="R156" s="11">
        <f>P156-Q156</f>
        <v>0</v>
      </c>
      <c r="S156" s="11">
        <f t="shared" si="25"/>
        <v>78.042714300000014</v>
      </c>
      <c r="T156" s="9">
        <f>N156/1000</f>
        <v>78.0427143</v>
      </c>
      <c r="U156" s="14">
        <f>T156+L156</f>
        <v>202.2927143</v>
      </c>
      <c r="V156" s="16">
        <v>10400</v>
      </c>
    </row>
    <row r="157" spans="1:22" x14ac:dyDescent="0.25">
      <c r="A157" s="4">
        <v>20250807</v>
      </c>
      <c r="B157" s="4">
        <v>12</v>
      </c>
      <c r="C157" s="4">
        <v>5282.3280000000004</v>
      </c>
      <c r="D157" s="4">
        <v>15961.922</v>
      </c>
      <c r="E157" s="5">
        <f t="shared" si="20"/>
        <v>21244.25</v>
      </c>
      <c r="F157" s="5">
        <v>0.2</v>
      </c>
      <c r="G157" s="6">
        <v>0.8899999999999999</v>
      </c>
      <c r="H157" s="5">
        <f t="shared" si="26"/>
        <v>0.24722222222222218</v>
      </c>
      <c r="I157" s="7">
        <v>557033.18729999999</v>
      </c>
      <c r="J157" s="7">
        <f t="shared" si="21"/>
        <v>27542.196483166663</v>
      </c>
      <c r="K157" s="7">
        <f t="shared" si="22"/>
        <v>6297.9464831666628</v>
      </c>
      <c r="L157" s="8">
        <v>124.25</v>
      </c>
      <c r="M157" s="5">
        <f t="shared" si="19"/>
        <v>27.542196483166663</v>
      </c>
      <c r="N157" s="5">
        <v>78042.714300000007</v>
      </c>
      <c r="O157" s="5">
        <f t="shared" si="23"/>
        <v>2149467.7713302406</v>
      </c>
      <c r="P157" s="7">
        <f>(L157+T157)*MAX(0, K157)</f>
        <v>1274028.6885959234</v>
      </c>
      <c r="Q157" s="7">
        <f t="shared" si="24"/>
        <v>782519.85053345782</v>
      </c>
      <c r="R157" s="11">
        <f>P157-Q157</f>
        <v>491508.83806246554</v>
      </c>
      <c r="S157" s="11">
        <f t="shared" si="25"/>
        <v>78.0427143</v>
      </c>
      <c r="T157" s="9">
        <f>N157/1000</f>
        <v>78.0427143</v>
      </c>
      <c r="U157" s="14">
        <f>T157+L157</f>
        <v>202.2927143</v>
      </c>
      <c r="V157" s="16">
        <v>10400</v>
      </c>
    </row>
    <row r="158" spans="1:22" x14ac:dyDescent="0.25">
      <c r="A158" s="4">
        <v>20250807</v>
      </c>
      <c r="B158" s="4">
        <v>13</v>
      </c>
      <c r="C158" s="4">
        <v>5498.1409999999996</v>
      </c>
      <c r="D158" s="4">
        <v>15396.694</v>
      </c>
      <c r="E158" s="5">
        <f t="shared" si="20"/>
        <v>20894.834999999999</v>
      </c>
      <c r="F158" s="5">
        <v>0.2</v>
      </c>
      <c r="G158" s="6">
        <v>0.99000000000000021</v>
      </c>
      <c r="H158" s="5">
        <f t="shared" si="26"/>
        <v>0.27500000000000008</v>
      </c>
      <c r="I158" s="7">
        <v>557033.18729999999</v>
      </c>
      <c r="J158" s="7">
        <f t="shared" si="21"/>
        <v>30636.825301500008</v>
      </c>
      <c r="K158" s="7">
        <f t="shared" si="22"/>
        <v>9741.9903015000091</v>
      </c>
      <c r="L158" s="8">
        <v>120.98</v>
      </c>
      <c r="M158" s="5">
        <f t="shared" si="19"/>
        <v>30.636825301500007</v>
      </c>
      <c r="N158" s="5">
        <v>78042.714300000007</v>
      </c>
      <c r="O158" s="5">
        <f t="shared" si="23"/>
        <v>2390981.0040639765</v>
      </c>
      <c r="P158" s="7">
        <f>(L158+T158)*MAX(0, K158)</f>
        <v>1938877.3524888074</v>
      </c>
      <c r="Q158" s="7">
        <f t="shared" si="24"/>
        <v>1178585.9866754711</v>
      </c>
      <c r="R158" s="11">
        <f>P158-Q158</f>
        <v>760291.36581333634</v>
      </c>
      <c r="S158" s="11">
        <f t="shared" si="25"/>
        <v>78.0427143</v>
      </c>
      <c r="T158" s="9">
        <f>N158/1000</f>
        <v>78.0427143</v>
      </c>
      <c r="U158" s="14">
        <f>T158+L158</f>
        <v>199.02271430000002</v>
      </c>
      <c r="V158" s="16">
        <v>10400</v>
      </c>
    </row>
    <row r="159" spans="1:22" x14ac:dyDescent="0.25">
      <c r="A159" s="4">
        <v>20250807</v>
      </c>
      <c r="B159" s="4">
        <v>14</v>
      </c>
      <c r="C159" s="4">
        <v>5359.0460000000003</v>
      </c>
      <c r="D159" s="4">
        <v>15520.325000000001</v>
      </c>
      <c r="E159" s="5">
        <f t="shared" si="20"/>
        <v>20879.370999999999</v>
      </c>
      <c r="F159" s="5">
        <v>0.2</v>
      </c>
      <c r="G159" s="6">
        <v>1.2</v>
      </c>
      <c r="H159" s="5">
        <f t="shared" si="26"/>
        <v>0.33333333333333331</v>
      </c>
      <c r="I159" s="7">
        <v>557033.18729999999</v>
      </c>
      <c r="J159" s="7">
        <f t="shared" si="21"/>
        <v>37135.545819999999</v>
      </c>
      <c r="K159" s="7">
        <f t="shared" si="22"/>
        <v>16256.17482</v>
      </c>
      <c r="L159" s="8">
        <v>124.25</v>
      </c>
      <c r="M159" s="5">
        <f t="shared" si="19"/>
        <v>37.135545819999997</v>
      </c>
      <c r="N159" s="5">
        <v>78042.714300000007</v>
      </c>
      <c r="O159" s="5">
        <f t="shared" si="23"/>
        <v>2898158.7928048191</v>
      </c>
      <c r="P159" s="7">
        <f>(L159+T159)*MAX(0, K159)</f>
        <v>3288505.7284731138</v>
      </c>
      <c r="Q159" s="7">
        <f t="shared" si="24"/>
        <v>2019829.721385</v>
      </c>
      <c r="R159" s="11">
        <f>P159-Q159</f>
        <v>1268676.0070881138</v>
      </c>
      <c r="S159" s="11">
        <f t="shared" si="25"/>
        <v>78.0427143</v>
      </c>
      <c r="T159" s="9">
        <f>N159/1000</f>
        <v>78.0427143</v>
      </c>
      <c r="U159" s="14">
        <f>T159+L159</f>
        <v>202.2927143</v>
      </c>
      <c r="V159" s="16">
        <v>10400</v>
      </c>
    </row>
    <row r="160" spans="1:22" x14ac:dyDescent="0.25">
      <c r="A160" s="4">
        <v>20250807</v>
      </c>
      <c r="B160" s="4">
        <v>15</v>
      </c>
      <c r="C160" s="4">
        <v>5075.3010000000004</v>
      </c>
      <c r="D160" s="4">
        <v>15880.883</v>
      </c>
      <c r="E160" s="5">
        <f t="shared" si="20"/>
        <v>20956.184000000001</v>
      </c>
      <c r="F160" s="5">
        <v>0.2</v>
      </c>
      <c r="G160" s="6">
        <v>3.26</v>
      </c>
      <c r="H160" s="5">
        <f t="shared" si="26"/>
        <v>0.90555555555555545</v>
      </c>
      <c r="I160" s="7">
        <v>557033.18729999999</v>
      </c>
      <c r="J160" s="7">
        <f t="shared" si="21"/>
        <v>100884.89947766665</v>
      </c>
      <c r="K160" s="7">
        <f t="shared" si="22"/>
        <v>79928.715477666643</v>
      </c>
      <c r="L160" s="8">
        <v>124.25</v>
      </c>
      <c r="M160" s="5">
        <f t="shared" si="19"/>
        <v>100.88489947766665</v>
      </c>
      <c r="N160" s="5">
        <v>78042.714300000007</v>
      </c>
      <c r="O160" s="5">
        <f t="shared" si="23"/>
        <v>7873331.3871197579</v>
      </c>
      <c r="P160" s="7">
        <f>(L160+T160)*MAX(0, K160)</f>
        <v>16168996.804489607</v>
      </c>
      <c r="Q160" s="7">
        <f t="shared" si="24"/>
        <v>9931142.89810008</v>
      </c>
      <c r="R160" s="11">
        <f>P160-Q160</f>
        <v>6237853.906389527</v>
      </c>
      <c r="S160" s="11">
        <f t="shared" si="25"/>
        <v>78.0427143</v>
      </c>
      <c r="T160" s="9">
        <f>N160/1000</f>
        <v>78.0427143</v>
      </c>
      <c r="U160" s="14">
        <f>T160+L160</f>
        <v>202.2927143</v>
      </c>
      <c r="V160" s="16">
        <v>10400</v>
      </c>
    </row>
    <row r="161" spans="1:22" x14ac:dyDescent="0.25">
      <c r="A161" s="4">
        <v>20250807</v>
      </c>
      <c r="B161" s="4">
        <v>16</v>
      </c>
      <c r="C161" s="4">
        <v>5158.2529999999997</v>
      </c>
      <c r="D161" s="4">
        <v>15690.794</v>
      </c>
      <c r="E161" s="5">
        <f t="shared" si="20"/>
        <v>20849.046999999999</v>
      </c>
      <c r="F161" s="5">
        <v>0.2</v>
      </c>
      <c r="G161" s="6">
        <v>3.1599999999999988</v>
      </c>
      <c r="H161" s="5">
        <f t="shared" si="26"/>
        <v>0.87777777777777743</v>
      </c>
      <c r="I161" s="7">
        <v>557033.18729999999</v>
      </c>
      <c r="J161" s="7">
        <f t="shared" si="21"/>
        <v>97790.270659333299</v>
      </c>
      <c r="K161" s="7">
        <f t="shared" si="22"/>
        <v>76941.223659333307</v>
      </c>
      <c r="L161" s="8">
        <v>124.25</v>
      </c>
      <c r="M161" s="5">
        <f t="shared" si="19"/>
        <v>97.790270659333302</v>
      </c>
      <c r="N161" s="5">
        <v>78042.714300000007</v>
      </c>
      <c r="O161" s="5">
        <f t="shared" si="23"/>
        <v>7631818.1543860221</v>
      </c>
      <c r="P161" s="7">
        <f>(L161+T161)*MAX(0, K161)</f>
        <v>15564648.975609913</v>
      </c>
      <c r="Q161" s="7">
        <f t="shared" si="24"/>
        <v>9559947.0396721642</v>
      </c>
      <c r="R161" s="11">
        <f>P161-Q161</f>
        <v>6004701.9359377492</v>
      </c>
      <c r="S161" s="11">
        <f t="shared" si="25"/>
        <v>78.042714300000014</v>
      </c>
      <c r="T161" s="9">
        <f>N161/1000</f>
        <v>78.0427143</v>
      </c>
      <c r="U161" s="14">
        <f>T161+L161</f>
        <v>202.2927143</v>
      </c>
      <c r="V161" s="16">
        <v>10400</v>
      </c>
    </row>
    <row r="162" spans="1:22" x14ac:dyDescent="0.25">
      <c r="A162" s="4">
        <v>20250807</v>
      </c>
      <c r="B162" s="4">
        <v>17</v>
      </c>
      <c r="C162" s="4">
        <v>5379.3810000000003</v>
      </c>
      <c r="D162" s="4">
        <v>15550.427</v>
      </c>
      <c r="E162" s="5">
        <f t="shared" si="20"/>
        <v>20929.808000000001</v>
      </c>
      <c r="F162" s="5">
        <v>0.2</v>
      </c>
      <c r="G162" s="6">
        <v>2.7200000000000011</v>
      </c>
      <c r="H162" s="5">
        <f t="shared" si="26"/>
        <v>0.75555555555555587</v>
      </c>
      <c r="I162" s="7">
        <v>557033.18729999999</v>
      </c>
      <c r="J162" s="7">
        <f t="shared" si="21"/>
        <v>84173.903858666701</v>
      </c>
      <c r="K162" s="7">
        <f t="shared" si="22"/>
        <v>63244.095858666697</v>
      </c>
      <c r="L162" s="8">
        <v>120.98</v>
      </c>
      <c r="M162" s="5">
        <f t="shared" ref="M162:M169" si="27" xml:space="preserve"> J162/1000</f>
        <v>84.173903858666705</v>
      </c>
      <c r="N162" s="5">
        <v>78042.714300000007</v>
      </c>
      <c r="O162" s="5">
        <f t="shared" si="23"/>
        <v>6569159.930357594</v>
      </c>
      <c r="P162" s="7">
        <f>(L162+T162)*MAX(0, K162)</f>
        <v>12587011.621241236</v>
      </c>
      <c r="Q162" s="7">
        <f t="shared" si="24"/>
        <v>7651270.7169814976</v>
      </c>
      <c r="R162" s="11">
        <f>P162-Q162</f>
        <v>4935740.9042597385</v>
      </c>
      <c r="S162" s="11">
        <f t="shared" si="25"/>
        <v>78.042714300000014</v>
      </c>
      <c r="T162" s="9">
        <f>N162/1000</f>
        <v>78.0427143</v>
      </c>
      <c r="U162" s="14">
        <f>T162+L162</f>
        <v>199.02271430000002</v>
      </c>
      <c r="V162" s="16">
        <v>10400</v>
      </c>
    </row>
    <row r="163" spans="1:22" x14ac:dyDescent="0.25">
      <c r="A163" s="4">
        <v>20250807</v>
      </c>
      <c r="B163" s="4">
        <v>18</v>
      </c>
      <c r="C163" s="4">
        <v>5937.5069999999996</v>
      </c>
      <c r="D163" s="4">
        <v>14714.107</v>
      </c>
      <c r="E163" s="5">
        <f t="shared" si="20"/>
        <v>20651.614000000001</v>
      </c>
      <c r="F163" s="5">
        <v>0.2</v>
      </c>
      <c r="G163" s="6">
        <v>1.98</v>
      </c>
      <c r="H163" s="5">
        <f t="shared" si="26"/>
        <v>0.54999999999999993</v>
      </c>
      <c r="I163" s="7">
        <v>557033.18729999999</v>
      </c>
      <c r="J163" s="7">
        <f t="shared" si="21"/>
        <v>61273.650602999995</v>
      </c>
      <c r="K163" s="7">
        <f t="shared" si="22"/>
        <v>40622.036602999993</v>
      </c>
      <c r="L163" s="8">
        <v>121.09</v>
      </c>
      <c r="M163" s="5">
        <f t="shared" si="27"/>
        <v>61.273650602999993</v>
      </c>
      <c r="N163" s="5">
        <v>78042.714300000007</v>
      </c>
      <c r="O163" s="5">
        <f t="shared" si="23"/>
        <v>4781962.008127952</v>
      </c>
      <c r="P163" s="7">
        <f>(L163+T163)*MAX(0, K163)</f>
        <v>8089176.4091493404</v>
      </c>
      <c r="Q163" s="7">
        <f t="shared" si="24"/>
        <v>4918922.412257269</v>
      </c>
      <c r="R163" s="11">
        <f>P163-Q163</f>
        <v>3170253.9968920713</v>
      </c>
      <c r="S163" s="11">
        <f t="shared" si="25"/>
        <v>78.042714300000014</v>
      </c>
      <c r="T163" s="9">
        <f>N163/1000</f>
        <v>78.0427143</v>
      </c>
      <c r="U163" s="14">
        <f>T163+L163</f>
        <v>199.1327143</v>
      </c>
      <c r="V163" s="16">
        <v>10400</v>
      </c>
    </row>
    <row r="164" spans="1:22" x14ac:dyDescent="0.25">
      <c r="A164" s="4">
        <v>20250807</v>
      </c>
      <c r="B164" s="4">
        <v>19</v>
      </c>
      <c r="C164" s="4">
        <v>6478.991</v>
      </c>
      <c r="D164" s="4">
        <v>12542.68</v>
      </c>
      <c r="E164" s="5">
        <f t="shared" si="20"/>
        <v>19021.671000000002</v>
      </c>
      <c r="F164" s="5">
        <v>0.2</v>
      </c>
      <c r="G164" s="6">
        <v>1.110000000000001</v>
      </c>
      <c r="H164" s="5">
        <f t="shared" si="26"/>
        <v>0.30833333333333363</v>
      </c>
      <c r="I164" s="7">
        <v>557033.18729999999</v>
      </c>
      <c r="J164" s="7">
        <f t="shared" si="21"/>
        <v>34350.379883500034</v>
      </c>
      <c r="K164" s="7">
        <f t="shared" si="22"/>
        <v>15328.708883500032</v>
      </c>
      <c r="L164" s="8">
        <v>121.26</v>
      </c>
      <c r="M164" s="5">
        <f t="shared" si="27"/>
        <v>34.350379883500032</v>
      </c>
      <c r="N164" s="5">
        <v>78042.714300000007</v>
      </c>
      <c r="O164" s="5">
        <f t="shared" si="23"/>
        <v>2680796.8833444607</v>
      </c>
      <c r="P164" s="7">
        <f>(L164+T164)*MAX(0, K164)</f>
        <v>3055053.2871960788</v>
      </c>
      <c r="Q164" s="7">
        <f t="shared" si="24"/>
        <v>1858759.239213214</v>
      </c>
      <c r="R164" s="11">
        <f>P164-Q164</f>
        <v>1196294.0479828648</v>
      </c>
      <c r="S164" s="11">
        <f t="shared" si="25"/>
        <v>78.042714300000014</v>
      </c>
      <c r="T164" s="9">
        <f>N164/1000</f>
        <v>78.0427143</v>
      </c>
      <c r="U164" s="14">
        <f>T164+L164</f>
        <v>199.30271429999999</v>
      </c>
      <c r="V164" s="16">
        <v>10400</v>
      </c>
    </row>
    <row r="165" spans="1:22" x14ac:dyDescent="0.25">
      <c r="A165" s="4">
        <v>20250807</v>
      </c>
      <c r="B165" s="4">
        <v>20</v>
      </c>
      <c r="C165" s="4">
        <v>6390.72</v>
      </c>
      <c r="D165" s="4">
        <v>10702.638000000001</v>
      </c>
      <c r="E165" s="5">
        <f t="shared" si="20"/>
        <v>17093.358</v>
      </c>
      <c r="F165" s="5">
        <v>0.2</v>
      </c>
      <c r="G165" s="6">
        <v>0.39999999999999858</v>
      </c>
      <c r="H165" s="5">
        <f t="shared" si="26"/>
        <v>0.11111111111111072</v>
      </c>
      <c r="I165" s="7">
        <v>557033.18729999999</v>
      </c>
      <c r="J165" s="7">
        <f t="shared" si="21"/>
        <v>12378.515273333289</v>
      </c>
      <c r="K165" s="7">
        <f t="shared" si="22"/>
        <v>-4714.8427266667113</v>
      </c>
      <c r="L165" s="8">
        <v>121.32</v>
      </c>
      <c r="M165" s="5">
        <f t="shared" si="27"/>
        <v>12.378515273333289</v>
      </c>
      <c r="N165" s="5">
        <v>78042.714300000007</v>
      </c>
      <c r="O165" s="5">
        <f t="shared" si="23"/>
        <v>966052.93093493639</v>
      </c>
      <c r="P165" s="7">
        <f>(L165+T165)*MAX(0, K165)</f>
        <v>0</v>
      </c>
      <c r="Q165" s="7">
        <f t="shared" si="24"/>
        <v>0</v>
      </c>
      <c r="R165" s="11">
        <f>P165-Q165</f>
        <v>0</v>
      </c>
      <c r="S165" s="11">
        <f t="shared" si="25"/>
        <v>78.042714300000014</v>
      </c>
      <c r="T165" s="9">
        <f>N165/1000</f>
        <v>78.0427143</v>
      </c>
      <c r="U165" s="14">
        <f>T165+L165</f>
        <v>199.36271429999999</v>
      </c>
      <c r="V165" s="16">
        <v>10400</v>
      </c>
    </row>
    <row r="166" spans="1:22" x14ac:dyDescent="0.25">
      <c r="A166" s="4">
        <v>20250807</v>
      </c>
      <c r="B166" s="4">
        <v>21</v>
      </c>
      <c r="C166" s="4">
        <v>6572.3950000000004</v>
      </c>
      <c r="D166" s="4">
        <v>10498.932000000001</v>
      </c>
      <c r="E166" s="5">
        <f t="shared" si="20"/>
        <v>17071.327000000001</v>
      </c>
      <c r="F166" s="5">
        <v>0.2</v>
      </c>
      <c r="G166" s="6">
        <v>9.9999999999980105E-3</v>
      </c>
      <c r="H166" s="5">
        <f t="shared" si="26"/>
        <v>2.7777777777772249E-3</v>
      </c>
      <c r="I166" s="7">
        <v>557033.18729999999</v>
      </c>
      <c r="J166" s="7">
        <f t="shared" si="21"/>
        <v>309.46288183327175</v>
      </c>
      <c r="K166" s="7">
        <f t="shared" si="22"/>
        <v>-16761.86411816673</v>
      </c>
      <c r="L166" s="8">
        <v>121.49</v>
      </c>
      <c r="M166" s="5">
        <f t="shared" si="27"/>
        <v>0.30946288183327175</v>
      </c>
      <c r="N166" s="5">
        <v>78042.714300000007</v>
      </c>
      <c r="O166" s="5">
        <f t="shared" si="23"/>
        <v>24151.323273368689</v>
      </c>
      <c r="P166" s="7">
        <f>(L166+T166)*MAX(0, K166)</f>
        <v>0</v>
      </c>
      <c r="Q166" s="7">
        <f t="shared" si="24"/>
        <v>0</v>
      </c>
      <c r="R166" s="11">
        <f>P166-Q166</f>
        <v>0</v>
      </c>
      <c r="S166" s="11">
        <f t="shared" si="25"/>
        <v>78.0427143</v>
      </c>
      <c r="T166" s="9">
        <f>N166/1000</f>
        <v>78.0427143</v>
      </c>
      <c r="U166" s="14">
        <f>T166+L166</f>
        <v>199.53271430000001</v>
      </c>
      <c r="V166" s="16">
        <v>10400</v>
      </c>
    </row>
    <row r="167" spans="1:22" x14ac:dyDescent="0.25">
      <c r="A167" s="4">
        <v>20250807</v>
      </c>
      <c r="B167" s="4">
        <v>22</v>
      </c>
      <c r="C167" s="4">
        <v>6452</v>
      </c>
      <c r="D167" s="4">
        <v>9798.8160000000007</v>
      </c>
      <c r="E167" s="5">
        <f t="shared" si="20"/>
        <v>16250.816000000001</v>
      </c>
      <c r="F167" s="5">
        <v>0.2</v>
      </c>
      <c r="G167" s="6">
        <v>0</v>
      </c>
      <c r="H167" s="5">
        <f t="shared" si="26"/>
        <v>0</v>
      </c>
      <c r="I167" s="7">
        <v>557033.18729999999</v>
      </c>
      <c r="J167" s="7">
        <f t="shared" si="21"/>
        <v>0</v>
      </c>
      <c r="K167" s="7">
        <f t="shared" si="22"/>
        <v>-16250.816000000001</v>
      </c>
      <c r="L167" s="8">
        <v>121.49</v>
      </c>
      <c r="M167" s="5">
        <f t="shared" si="27"/>
        <v>0</v>
      </c>
      <c r="N167" s="5">
        <v>78042.714300000007</v>
      </c>
      <c r="O167" s="5">
        <f t="shared" si="23"/>
        <v>0</v>
      </c>
      <c r="P167" s="7">
        <f>(L167+T167)*MAX(0, K167)</f>
        <v>0</v>
      </c>
      <c r="Q167" s="7">
        <f t="shared" si="24"/>
        <v>0</v>
      </c>
      <c r="R167" s="11">
        <f>P167-Q167</f>
        <v>0</v>
      </c>
      <c r="S167" s="11">
        <f t="shared" si="25"/>
        <v>0</v>
      </c>
      <c r="T167" s="9">
        <f>N167/1000</f>
        <v>78.0427143</v>
      </c>
      <c r="U167" s="14">
        <f>T167+L167</f>
        <v>199.53271430000001</v>
      </c>
      <c r="V167" s="16">
        <v>10400</v>
      </c>
    </row>
    <row r="168" spans="1:22" x14ac:dyDescent="0.25">
      <c r="A168" s="4">
        <v>20250807</v>
      </c>
      <c r="B168" s="4">
        <v>23</v>
      </c>
      <c r="C168" s="4">
        <v>6054.4880000000003</v>
      </c>
      <c r="D168" s="4">
        <v>9209.7610000000004</v>
      </c>
      <c r="E168" s="5">
        <f t="shared" si="20"/>
        <v>15264.249</v>
      </c>
      <c r="F168" s="5">
        <v>0.2</v>
      </c>
      <c r="G168" s="6">
        <v>0</v>
      </c>
      <c r="H168" s="5">
        <f t="shared" si="26"/>
        <v>0</v>
      </c>
      <c r="I168" s="7">
        <v>557033.18729999999</v>
      </c>
      <c r="J168" s="7">
        <f t="shared" si="21"/>
        <v>0</v>
      </c>
      <c r="K168" s="7">
        <f t="shared" si="22"/>
        <v>-15264.249</v>
      </c>
      <c r="L168" s="8">
        <v>121.66</v>
      </c>
      <c r="M168" s="5">
        <f t="shared" si="27"/>
        <v>0</v>
      </c>
      <c r="N168" s="5">
        <v>78042.714300000007</v>
      </c>
      <c r="O168" s="5">
        <f t="shared" si="23"/>
        <v>0</v>
      </c>
      <c r="P168" s="7">
        <f>(L168+T168)*MAX(0, K168)</f>
        <v>0</v>
      </c>
      <c r="Q168" s="7">
        <f t="shared" si="24"/>
        <v>0</v>
      </c>
      <c r="R168" s="11">
        <f>P168-Q168</f>
        <v>0</v>
      </c>
      <c r="S168" s="11">
        <f t="shared" si="25"/>
        <v>0</v>
      </c>
      <c r="T168" s="9">
        <f>N168/1000</f>
        <v>78.0427143</v>
      </c>
      <c r="U168" s="14">
        <f>T168+L168</f>
        <v>199.7027143</v>
      </c>
      <c r="V168" s="16">
        <v>10400</v>
      </c>
    </row>
    <row r="169" spans="1:22" x14ac:dyDescent="0.25">
      <c r="A169" s="4">
        <v>20250807</v>
      </c>
      <c r="B169" s="4">
        <v>24</v>
      </c>
      <c r="C169" s="4">
        <v>5266.6710000000003</v>
      </c>
      <c r="D169" s="4">
        <v>8977.6949999999997</v>
      </c>
      <c r="E169" s="5">
        <f t="shared" si="20"/>
        <v>14244.366</v>
      </c>
      <c r="F169" s="5">
        <v>0.2</v>
      </c>
      <c r="G169" s="6">
        <v>0</v>
      </c>
      <c r="H169" s="5">
        <f t="shared" si="26"/>
        <v>0</v>
      </c>
      <c r="I169" s="7">
        <v>557033.18729999999</v>
      </c>
      <c r="J169" s="7">
        <f t="shared" si="21"/>
        <v>0</v>
      </c>
      <c r="K169" s="7">
        <f t="shared" si="22"/>
        <v>-14244.366</v>
      </c>
      <c r="L169" s="8">
        <v>118.18</v>
      </c>
      <c r="M169" s="5">
        <f t="shared" si="27"/>
        <v>0</v>
      </c>
      <c r="N169" s="5">
        <v>78042.714300000007</v>
      </c>
      <c r="O169" s="5">
        <f t="shared" si="23"/>
        <v>0</v>
      </c>
      <c r="P169" s="7">
        <f>(L169+T169)*MAX(0, K169)</f>
        <v>0</v>
      </c>
      <c r="Q169" s="7">
        <f t="shared" si="24"/>
        <v>0</v>
      </c>
      <c r="R169" s="11">
        <f>P169-Q169</f>
        <v>0</v>
      </c>
      <c r="S169" s="11">
        <f t="shared" si="25"/>
        <v>0</v>
      </c>
      <c r="T169" s="9">
        <f>N169/1000</f>
        <v>78.0427143</v>
      </c>
      <c r="U169" s="14">
        <f>T169+L169</f>
        <v>196.22271430000001</v>
      </c>
      <c r="V169" s="16">
        <v>10400</v>
      </c>
    </row>
    <row r="170" spans="1:22" x14ac:dyDescent="0.3">
      <c r="K170" s="2">
        <f>SUM(K2:K169)</f>
        <v>9.6333196779596619E-5</v>
      </c>
      <c r="P170" s="10">
        <f>SUM(P2:P169)</f>
        <v>287155892.73111486</v>
      </c>
      <c r="Q170" s="1">
        <f>SUM(Q2:Q169)</f>
        <v>176220306.66014701</v>
      </c>
      <c r="R170" s="2">
        <f>P170-Q170</f>
        <v>110935586.07096785</v>
      </c>
      <c r="S170" s="2">
        <f>SUM(S2:S169)</f>
        <v>7488.0148571999853</v>
      </c>
      <c r="U170" s="17">
        <f>SUM(U2:U169)</f>
        <v>32732.366000000024</v>
      </c>
    </row>
    <row r="171" spans="1:22" x14ac:dyDescent="0.3">
      <c r="P171" s="1">
        <f>AVERAGE(P2:P169)</f>
        <v>1709261.266256636</v>
      </c>
    </row>
  </sheetData>
  <phoneticPr fontId="2" type="noConversion"/>
  <pageMargins left="0.7" right="0.7" top="0.75" bottom="0.75" header="0.3" footer="0.3"/>
  <ignoredErrors>
    <ignoredError sqref="E2:E169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양현진</dc:creator>
  <cp:lastModifiedBy>양현진</cp:lastModifiedBy>
  <dcterms:created xsi:type="dcterms:W3CDTF">2025-11-26T03:14:08Z</dcterms:created>
  <dcterms:modified xsi:type="dcterms:W3CDTF">2026-04-08T12:53:35Z</dcterms:modified>
</cp:coreProperties>
</file>